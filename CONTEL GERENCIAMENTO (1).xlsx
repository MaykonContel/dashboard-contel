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ontel - 0752\Downloads\"/>
    </mc:Choice>
  </mc:AlternateContent>
  <xr:revisionPtr revIDLastSave="0" documentId="13_ncr:1_{3F95DB92-3091-468B-AF23-539FD4ED8E9F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PLANEJAMENTO" sheetId="1" r:id="rId1"/>
    <sheet name="EQUIPE" sheetId="11" r:id="rId2"/>
    <sheet name="CRONOGRAMA" sheetId="3" r:id="rId3"/>
    <sheet name="ETAPA OBRA" sheetId="12" r:id="rId4"/>
    <sheet name="TABELAS" sheetId="10" r:id="rId5"/>
    <sheet name="CONFIGURAÇÕES" sheetId="7" r:id="rId6"/>
  </sheets>
  <definedNames>
    <definedName name="SegmentaçãodeDados_CLIENTE1">#N/A</definedName>
    <definedName name="SegmentaçãodeDados_ID_SITE1">#N/A</definedName>
  </definedNames>
  <calcPr calcId="191029"/>
  <pivotCaches>
    <pivotCache cacheId="6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2" i="12" l="1"/>
  <c r="T172" i="12" s="1"/>
  <c r="B173" i="12"/>
  <c r="T173" i="12" s="1"/>
  <c r="B174" i="12"/>
  <c r="T174" i="12" s="1"/>
  <c r="B175" i="12"/>
  <c r="T175" i="12" s="1"/>
  <c r="B176" i="12"/>
  <c r="T176" i="12" s="1"/>
  <c r="B177" i="12"/>
  <c r="T177" i="12" s="1"/>
  <c r="B178" i="12"/>
  <c r="T178" i="12" s="1"/>
  <c r="B179" i="12"/>
  <c r="T179" i="12" s="1"/>
  <c r="B180" i="12"/>
  <c r="T180" i="12" s="1"/>
  <c r="B181" i="12"/>
  <c r="T181" i="12" s="1"/>
  <c r="B182" i="12"/>
  <c r="T182" i="12" s="1"/>
  <c r="B183" i="12"/>
  <c r="T183" i="12" s="1"/>
  <c r="B184" i="12"/>
  <c r="T184" i="12" s="1"/>
  <c r="B185" i="12"/>
  <c r="T185" i="12" s="1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2" i="1"/>
  <c r="B2" i="12" s="1"/>
  <c r="B3" i="1"/>
  <c r="B3" i="12" s="1"/>
  <c r="B4" i="1"/>
  <c r="B4" i="12" s="1"/>
  <c r="B5" i="1"/>
  <c r="B5" i="12" s="1"/>
  <c r="B6" i="1"/>
  <c r="B6" i="12" s="1"/>
  <c r="B7" i="1"/>
  <c r="B7" i="12" s="1"/>
  <c r="B8" i="1"/>
  <c r="B8" i="3" s="1"/>
  <c r="B9" i="1"/>
  <c r="B9" i="3" s="1"/>
  <c r="B10" i="1"/>
  <c r="B10" i="3" s="1"/>
  <c r="B11" i="1"/>
  <c r="B11" i="3" s="1"/>
  <c r="B12" i="1"/>
  <c r="B12" i="12" s="1"/>
  <c r="B13" i="1"/>
  <c r="B13" i="12" s="1"/>
  <c r="B14" i="1"/>
  <c r="B14" i="12" s="1"/>
  <c r="B15" i="1"/>
  <c r="B15" i="12" s="1"/>
  <c r="B16" i="1"/>
  <c r="B16" i="12" s="1"/>
  <c r="B17" i="1"/>
  <c r="B17" i="12" s="1"/>
  <c r="B18" i="1"/>
  <c r="B18" i="12" s="1"/>
  <c r="B19" i="1"/>
  <c r="B19" i="12" s="1"/>
  <c r="B20" i="1"/>
  <c r="B20" i="3" s="1"/>
  <c r="B21" i="1"/>
  <c r="B21" i="3" s="1"/>
  <c r="B22" i="1"/>
  <c r="B22" i="3" s="1"/>
  <c r="B23" i="1"/>
  <c r="B23" i="3" s="1"/>
  <c r="B24" i="1"/>
  <c r="B24" i="12" s="1"/>
  <c r="B25" i="1"/>
  <c r="B25" i="12" s="1"/>
  <c r="B26" i="1"/>
  <c r="B26" i="12" s="1"/>
  <c r="B27" i="1"/>
  <c r="B27" i="12" s="1"/>
  <c r="B28" i="1"/>
  <c r="B28" i="12" s="1"/>
  <c r="B29" i="1"/>
  <c r="B29" i="12" s="1"/>
  <c r="B30" i="1"/>
  <c r="B30" i="12" s="1"/>
  <c r="B31" i="1"/>
  <c r="B31" i="12" s="1"/>
  <c r="B32" i="1"/>
  <c r="B32" i="3" s="1"/>
  <c r="B33" i="1"/>
  <c r="B33" i="3" s="1"/>
  <c r="B34" i="1"/>
  <c r="B34" i="3" s="1"/>
  <c r="B35" i="1"/>
  <c r="B35" i="3" s="1"/>
  <c r="B36" i="1"/>
  <c r="B36" i="12" s="1"/>
  <c r="B37" i="1"/>
  <c r="B37" i="12" s="1"/>
  <c r="B38" i="1"/>
  <c r="B38" i="12" s="1"/>
  <c r="B39" i="1"/>
  <c r="B39" i="12" s="1"/>
  <c r="B40" i="1"/>
  <c r="B40" i="12" s="1"/>
  <c r="B41" i="1"/>
  <c r="B41" i="12" s="1"/>
  <c r="B42" i="1"/>
  <c r="B42" i="12" s="1"/>
  <c r="B43" i="1"/>
  <c r="B43" i="12" s="1"/>
  <c r="B44" i="1"/>
  <c r="B44" i="3" s="1"/>
  <c r="B45" i="1"/>
  <c r="B45" i="3" s="1"/>
  <c r="B46" i="1"/>
  <c r="B46" i="3" s="1"/>
  <c r="B47" i="1"/>
  <c r="B47" i="3" s="1"/>
  <c r="B48" i="1"/>
  <c r="B48" i="12" s="1"/>
  <c r="B49" i="1"/>
  <c r="B49" i="12" s="1"/>
  <c r="B50" i="1"/>
  <c r="B50" i="12" s="1"/>
  <c r="B51" i="1"/>
  <c r="B51" i="12" s="1"/>
  <c r="B52" i="1"/>
  <c r="B52" i="12" s="1"/>
  <c r="B53" i="1"/>
  <c r="B53" i="12" s="1"/>
  <c r="B54" i="1"/>
  <c r="B54" i="12" s="1"/>
  <c r="B55" i="1"/>
  <c r="B55" i="12" s="1"/>
  <c r="B56" i="1"/>
  <c r="B56" i="3" s="1"/>
  <c r="B57" i="1"/>
  <c r="B57" i="3" s="1"/>
  <c r="B58" i="1"/>
  <c r="B58" i="3" s="1"/>
  <c r="B59" i="1"/>
  <c r="B59" i="3" s="1"/>
  <c r="B60" i="1"/>
  <c r="B60" i="12" s="1"/>
  <c r="B61" i="1"/>
  <c r="B61" i="12" s="1"/>
  <c r="B62" i="1"/>
  <c r="B62" i="12" s="1"/>
  <c r="B63" i="1"/>
  <c r="B63" i="12" s="1"/>
  <c r="B64" i="1"/>
  <c r="B64" i="12" s="1"/>
  <c r="B65" i="1"/>
  <c r="B65" i="12" s="1"/>
  <c r="B66" i="1"/>
  <c r="B66" i="12" s="1"/>
  <c r="B67" i="1"/>
  <c r="B67" i="12" s="1"/>
  <c r="B68" i="1"/>
  <c r="B68" i="3" s="1"/>
  <c r="B69" i="1"/>
  <c r="B69" i="3" s="1"/>
  <c r="B70" i="1"/>
  <c r="B70" i="3" s="1"/>
  <c r="B71" i="1"/>
  <c r="B71" i="3" s="1"/>
  <c r="B72" i="1"/>
  <c r="B72" i="12" s="1"/>
  <c r="B73" i="1"/>
  <c r="B73" i="12" s="1"/>
  <c r="B74" i="1"/>
  <c r="B74" i="12" s="1"/>
  <c r="B75" i="1"/>
  <c r="B75" i="12" s="1"/>
  <c r="B76" i="1"/>
  <c r="B76" i="12" s="1"/>
  <c r="B77" i="1"/>
  <c r="B77" i="12" s="1"/>
  <c r="B78" i="1"/>
  <c r="B78" i="12" s="1"/>
  <c r="B79" i="1"/>
  <c r="B79" i="12" s="1"/>
  <c r="B80" i="1"/>
  <c r="B80" i="3" s="1"/>
  <c r="B81" i="1"/>
  <c r="B81" i="3" s="1"/>
  <c r="B82" i="1"/>
  <c r="B82" i="3" s="1"/>
  <c r="B83" i="1"/>
  <c r="B83" i="3" s="1"/>
  <c r="B84" i="1"/>
  <c r="B84" i="12" s="1"/>
  <c r="B85" i="1"/>
  <c r="B85" i="12" s="1"/>
  <c r="B86" i="1"/>
  <c r="B86" i="12" s="1"/>
  <c r="B87" i="1"/>
  <c r="B87" i="12" s="1"/>
  <c r="B88" i="1"/>
  <c r="B88" i="12" s="1"/>
  <c r="B89" i="1"/>
  <c r="B89" i="12" s="1"/>
  <c r="B90" i="1"/>
  <c r="B90" i="12" s="1"/>
  <c r="B91" i="1"/>
  <c r="B91" i="12" s="1"/>
  <c r="B92" i="1"/>
  <c r="B92" i="3" s="1"/>
  <c r="B93" i="1"/>
  <c r="B93" i="3" s="1"/>
  <c r="B94" i="1"/>
  <c r="B94" i="3" s="1"/>
  <c r="B95" i="1"/>
  <c r="B95" i="3" s="1"/>
  <c r="B96" i="1"/>
  <c r="B96" i="12" s="1"/>
  <c r="B97" i="1"/>
  <c r="B97" i="12" s="1"/>
  <c r="B98" i="1"/>
  <c r="B98" i="12" s="1"/>
  <c r="B99" i="1"/>
  <c r="B99" i="12" s="1"/>
  <c r="B100" i="1"/>
  <c r="B100" i="12" s="1"/>
  <c r="B101" i="1"/>
  <c r="B101" i="12" s="1"/>
  <c r="B102" i="1"/>
  <c r="B102" i="12" s="1"/>
  <c r="B103" i="1"/>
  <c r="B103" i="12" s="1"/>
  <c r="B104" i="1"/>
  <c r="B104" i="3" s="1"/>
  <c r="B105" i="1"/>
  <c r="B105" i="3" s="1"/>
  <c r="B106" i="1"/>
  <c r="B106" i="3" s="1"/>
  <c r="B107" i="1"/>
  <c r="B107" i="3" s="1"/>
  <c r="B108" i="1"/>
  <c r="B108" i="12" s="1"/>
  <c r="B109" i="1"/>
  <c r="B109" i="12" s="1"/>
  <c r="B110" i="1"/>
  <c r="B110" i="12" s="1"/>
  <c r="B111" i="1"/>
  <c r="B111" i="12" s="1"/>
  <c r="B112" i="1"/>
  <c r="B112" i="12" s="1"/>
  <c r="B113" i="1"/>
  <c r="B113" i="12" s="1"/>
  <c r="B114" i="1"/>
  <c r="B114" i="12" s="1"/>
  <c r="B115" i="1"/>
  <c r="B115" i="12" s="1"/>
  <c r="B116" i="1"/>
  <c r="B116" i="3" s="1"/>
  <c r="B117" i="1"/>
  <c r="B117" i="3" s="1"/>
  <c r="B118" i="1"/>
  <c r="B118" i="3" s="1"/>
  <c r="B119" i="1"/>
  <c r="B119" i="3" s="1"/>
  <c r="B120" i="1"/>
  <c r="B120" i="12" s="1"/>
  <c r="B121" i="1"/>
  <c r="B121" i="12" s="1"/>
  <c r="B122" i="1"/>
  <c r="B122" i="12" s="1"/>
  <c r="B123" i="1"/>
  <c r="B123" i="12" s="1"/>
  <c r="B124" i="1"/>
  <c r="B124" i="12" s="1"/>
  <c r="B125" i="1"/>
  <c r="B125" i="12" s="1"/>
  <c r="B126" i="1"/>
  <c r="B126" i="12" s="1"/>
  <c r="B127" i="1"/>
  <c r="B127" i="12" s="1"/>
  <c r="B128" i="1"/>
  <c r="B128" i="3" s="1"/>
  <c r="B129" i="1"/>
  <c r="B129" i="3" s="1"/>
  <c r="B130" i="1"/>
  <c r="B130" i="3" s="1"/>
  <c r="B131" i="1"/>
  <c r="B131" i="3" s="1"/>
  <c r="B132" i="1"/>
  <c r="B132" i="12" s="1"/>
  <c r="B133" i="1"/>
  <c r="B133" i="12" s="1"/>
  <c r="B134" i="1"/>
  <c r="B134" i="12" s="1"/>
  <c r="B135" i="1"/>
  <c r="B135" i="12" s="1"/>
  <c r="B136" i="1"/>
  <c r="B136" i="12" s="1"/>
  <c r="B137" i="1"/>
  <c r="B137" i="12" s="1"/>
  <c r="B138" i="1"/>
  <c r="B138" i="12" s="1"/>
  <c r="B139" i="1"/>
  <c r="B139" i="12" s="1"/>
  <c r="B140" i="1"/>
  <c r="B140" i="3" s="1"/>
  <c r="B141" i="1"/>
  <c r="B141" i="3" s="1"/>
  <c r="B142" i="1"/>
  <c r="B142" i="3" s="1"/>
  <c r="B143" i="1"/>
  <c r="B143" i="3" s="1"/>
  <c r="B144" i="1"/>
  <c r="B144" i="12" s="1"/>
  <c r="B145" i="1"/>
  <c r="B145" i="12" s="1"/>
  <c r="B146" i="1"/>
  <c r="B146" i="12" s="1"/>
  <c r="B147" i="1"/>
  <c r="B147" i="12" s="1"/>
  <c r="B148" i="1"/>
  <c r="B148" i="12" s="1"/>
  <c r="B149" i="1"/>
  <c r="B149" i="12" s="1"/>
  <c r="B150" i="1"/>
  <c r="B150" i="12" s="1"/>
  <c r="B151" i="1"/>
  <c r="B151" i="12" s="1"/>
  <c r="B152" i="1"/>
  <c r="B152" i="3" s="1"/>
  <c r="B153" i="1"/>
  <c r="B153" i="3" s="1"/>
  <c r="B154" i="1"/>
  <c r="B154" i="3" s="1"/>
  <c r="B155" i="1"/>
  <c r="B155" i="3" s="1"/>
  <c r="B156" i="1"/>
  <c r="B156" i="12" s="1"/>
  <c r="B157" i="1"/>
  <c r="B157" i="12" s="1"/>
  <c r="B158" i="1"/>
  <c r="B158" i="12" s="1"/>
  <c r="B159" i="1"/>
  <c r="B159" i="12" s="1"/>
  <c r="B160" i="1"/>
  <c r="B160" i="12" s="1"/>
  <c r="B161" i="1"/>
  <c r="B161" i="12" s="1"/>
  <c r="B162" i="1"/>
  <c r="B162" i="12" s="1"/>
  <c r="B163" i="1"/>
  <c r="B163" i="12" s="1"/>
  <c r="B164" i="1"/>
  <c r="B164" i="3" s="1"/>
  <c r="B165" i="1"/>
  <c r="B165" i="3" s="1"/>
  <c r="B166" i="1"/>
  <c r="B166" i="3" s="1"/>
  <c r="B167" i="1"/>
  <c r="B167" i="3" s="1"/>
  <c r="B168" i="1"/>
  <c r="B168" i="12" s="1"/>
  <c r="B169" i="1"/>
  <c r="B169" i="12" s="1"/>
  <c r="B170" i="1"/>
  <c r="B170" i="12" s="1"/>
  <c r="B171" i="1"/>
  <c r="B171" i="12" s="1"/>
  <c r="J171" i="1"/>
  <c r="P171" i="1" s="1"/>
  <c r="Q171" i="1" s="1"/>
  <c r="R171" i="1" s="1"/>
  <c r="S171" i="1" s="1"/>
  <c r="A177" i="11"/>
  <c r="A178" i="11"/>
  <c r="A179" i="11"/>
  <c r="A180" i="11"/>
  <c r="A181" i="11"/>
  <c r="A182" i="11"/>
  <c r="A183" i="11"/>
  <c r="A184" i="11"/>
  <c r="A185" i="11"/>
  <c r="A186" i="11"/>
  <c r="A175" i="3"/>
  <c r="A176" i="3"/>
  <c r="A177" i="3"/>
  <c r="A178" i="3"/>
  <c r="A179" i="3"/>
  <c r="A180" i="3"/>
  <c r="A181" i="3"/>
  <c r="A182" i="3"/>
  <c r="A183" i="3"/>
  <c r="A184" i="3"/>
  <c r="A185" i="3"/>
  <c r="C175" i="3"/>
  <c r="C176" i="3"/>
  <c r="C177" i="3"/>
  <c r="C178" i="3"/>
  <c r="C179" i="3"/>
  <c r="C180" i="3"/>
  <c r="C181" i="3"/>
  <c r="C182" i="3"/>
  <c r="C183" i="3"/>
  <c r="C184" i="3"/>
  <c r="C185" i="3"/>
  <c r="D175" i="3"/>
  <c r="D176" i="3"/>
  <c r="D177" i="3"/>
  <c r="D178" i="3"/>
  <c r="D179" i="3"/>
  <c r="D180" i="3"/>
  <c r="D181" i="3"/>
  <c r="D182" i="3"/>
  <c r="D183" i="3"/>
  <c r="D184" i="3"/>
  <c r="D185" i="3"/>
  <c r="E175" i="3"/>
  <c r="E176" i="3"/>
  <c r="E177" i="3"/>
  <c r="E178" i="3"/>
  <c r="E179" i="3"/>
  <c r="E180" i="3"/>
  <c r="E181" i="3"/>
  <c r="E182" i="3"/>
  <c r="E183" i="3"/>
  <c r="E184" i="3"/>
  <c r="E185" i="3"/>
  <c r="F175" i="3"/>
  <c r="F176" i="3"/>
  <c r="F177" i="3"/>
  <c r="F178" i="3"/>
  <c r="F179" i="3"/>
  <c r="F180" i="3"/>
  <c r="F181" i="3"/>
  <c r="F182" i="3"/>
  <c r="F183" i="3"/>
  <c r="F184" i="3"/>
  <c r="F185" i="3"/>
  <c r="J175" i="3"/>
  <c r="I175" i="3" s="1"/>
  <c r="J176" i="3"/>
  <c r="I176" i="3" s="1"/>
  <c r="J177" i="3"/>
  <c r="I177" i="3" s="1"/>
  <c r="J178" i="3"/>
  <c r="I178" i="3" s="1"/>
  <c r="J179" i="3"/>
  <c r="I179" i="3" s="1"/>
  <c r="J180" i="3"/>
  <c r="I180" i="3" s="1"/>
  <c r="J181" i="3"/>
  <c r="I181" i="3" s="1"/>
  <c r="J182" i="3"/>
  <c r="I182" i="3" s="1"/>
  <c r="J183" i="3"/>
  <c r="I183" i="3" s="1"/>
  <c r="J184" i="3"/>
  <c r="I184" i="3" s="1"/>
  <c r="J185" i="3"/>
  <c r="I185" i="3" s="1"/>
  <c r="A171" i="11"/>
  <c r="A172" i="11"/>
  <c r="A173" i="11"/>
  <c r="A174" i="11"/>
  <c r="A175" i="11"/>
  <c r="A176" i="11"/>
  <c r="C171" i="3"/>
  <c r="C172" i="3"/>
  <c r="C173" i="3"/>
  <c r="C174" i="3"/>
  <c r="D171" i="3"/>
  <c r="D172" i="3"/>
  <c r="D173" i="3"/>
  <c r="D174" i="3"/>
  <c r="E171" i="3"/>
  <c r="E172" i="3"/>
  <c r="E173" i="3"/>
  <c r="E174" i="3"/>
  <c r="F171" i="3"/>
  <c r="F172" i="3"/>
  <c r="F173" i="3"/>
  <c r="F174" i="3"/>
  <c r="J171" i="3"/>
  <c r="I171" i="3" s="1"/>
  <c r="T171" i="1" s="1"/>
  <c r="J172" i="3"/>
  <c r="I172" i="3" s="1"/>
  <c r="J173" i="3"/>
  <c r="I173" i="3" s="1"/>
  <c r="J174" i="3"/>
  <c r="I174" i="3" s="1"/>
  <c r="A171" i="3"/>
  <c r="A172" i="3"/>
  <c r="A173" i="3"/>
  <c r="A174" i="3"/>
  <c r="A171" i="12"/>
  <c r="S171" i="12" s="1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O67" i="1"/>
  <c r="J2" i="1"/>
  <c r="J3" i="1"/>
  <c r="P3" i="1" s="1"/>
  <c r="J4" i="1"/>
  <c r="J5" i="1"/>
  <c r="J6" i="1"/>
  <c r="P6" i="1" s="1"/>
  <c r="J7" i="1"/>
  <c r="P7" i="1" s="1"/>
  <c r="J8" i="1"/>
  <c r="P8" i="1" s="1"/>
  <c r="J9" i="1"/>
  <c r="P9" i="1" s="1"/>
  <c r="J10" i="1"/>
  <c r="P10" i="1" s="1"/>
  <c r="J11" i="1"/>
  <c r="P11" i="1" s="1"/>
  <c r="J12" i="1"/>
  <c r="P12" i="1" s="1"/>
  <c r="J13" i="1"/>
  <c r="P13" i="1" s="1"/>
  <c r="J14" i="1"/>
  <c r="P14" i="1" s="1"/>
  <c r="J15" i="1"/>
  <c r="P15" i="1" s="1"/>
  <c r="J16" i="1"/>
  <c r="P16" i="1" s="1"/>
  <c r="J17" i="1"/>
  <c r="P17" i="1" s="1"/>
  <c r="J18" i="1"/>
  <c r="P18" i="1" s="1"/>
  <c r="J19" i="1"/>
  <c r="P19" i="1" s="1"/>
  <c r="J20" i="1"/>
  <c r="P20" i="1" s="1"/>
  <c r="J21" i="1"/>
  <c r="P21" i="1" s="1"/>
  <c r="J22" i="1"/>
  <c r="P22" i="1" s="1"/>
  <c r="J23" i="1"/>
  <c r="P23" i="1" s="1"/>
  <c r="J24" i="1"/>
  <c r="P24" i="1" s="1"/>
  <c r="J25" i="1"/>
  <c r="P25" i="1" s="1"/>
  <c r="J26" i="1"/>
  <c r="P26" i="1" s="1"/>
  <c r="J27" i="1"/>
  <c r="P27" i="1" s="1"/>
  <c r="J28" i="1"/>
  <c r="P28" i="1" s="1"/>
  <c r="J29" i="1"/>
  <c r="P29" i="1" s="1"/>
  <c r="J30" i="1"/>
  <c r="P30" i="1" s="1"/>
  <c r="J31" i="1"/>
  <c r="P31" i="1" s="1"/>
  <c r="J32" i="1"/>
  <c r="P32" i="1" s="1"/>
  <c r="J33" i="1"/>
  <c r="P33" i="1" s="1"/>
  <c r="J34" i="1"/>
  <c r="P34" i="1" s="1"/>
  <c r="J35" i="1"/>
  <c r="P35" i="1" s="1"/>
  <c r="J36" i="1"/>
  <c r="P36" i="1" s="1"/>
  <c r="J37" i="1"/>
  <c r="P37" i="1" s="1"/>
  <c r="J38" i="1"/>
  <c r="P38" i="1" s="1"/>
  <c r="J39" i="1"/>
  <c r="P39" i="1" s="1"/>
  <c r="J40" i="1"/>
  <c r="P40" i="1" s="1"/>
  <c r="J41" i="1"/>
  <c r="P41" i="1" s="1"/>
  <c r="J42" i="1"/>
  <c r="P42" i="1" s="1"/>
  <c r="J43" i="1"/>
  <c r="P43" i="1" s="1"/>
  <c r="J44" i="1"/>
  <c r="P44" i="1" s="1"/>
  <c r="J45" i="1"/>
  <c r="P45" i="1" s="1"/>
  <c r="J46" i="1"/>
  <c r="P46" i="1" s="1"/>
  <c r="J47" i="1"/>
  <c r="P47" i="1" s="1"/>
  <c r="J48" i="1"/>
  <c r="P48" i="1" s="1"/>
  <c r="J49" i="1"/>
  <c r="P49" i="1" s="1"/>
  <c r="J50" i="1"/>
  <c r="P50" i="1" s="1"/>
  <c r="J51" i="1"/>
  <c r="P51" i="1" s="1"/>
  <c r="J52" i="1"/>
  <c r="P52" i="1" s="1"/>
  <c r="J53" i="1"/>
  <c r="P53" i="1" s="1"/>
  <c r="J54" i="1"/>
  <c r="P54" i="1" s="1"/>
  <c r="J55" i="1"/>
  <c r="P55" i="1" s="1"/>
  <c r="J56" i="1"/>
  <c r="P56" i="1" s="1"/>
  <c r="J57" i="1"/>
  <c r="P57" i="1" s="1"/>
  <c r="J58" i="1"/>
  <c r="P58" i="1" s="1"/>
  <c r="J59" i="1"/>
  <c r="P59" i="1" s="1"/>
  <c r="J60" i="1"/>
  <c r="P60" i="1" s="1"/>
  <c r="J61" i="1"/>
  <c r="P61" i="1" s="1"/>
  <c r="J62" i="1"/>
  <c r="P62" i="1" s="1"/>
  <c r="J63" i="1"/>
  <c r="P63" i="1" s="1"/>
  <c r="J64" i="1"/>
  <c r="P64" i="1" s="1"/>
  <c r="J65" i="1"/>
  <c r="P65" i="1" s="1"/>
  <c r="J66" i="1"/>
  <c r="P66" i="1" s="1"/>
  <c r="J67" i="1"/>
  <c r="P67" i="1" s="1"/>
  <c r="J68" i="1"/>
  <c r="P68" i="1" s="1"/>
  <c r="J69" i="1"/>
  <c r="P69" i="1" s="1"/>
  <c r="J70" i="1"/>
  <c r="P70" i="1" s="1"/>
  <c r="J71" i="1"/>
  <c r="P71" i="1" s="1"/>
  <c r="J72" i="1"/>
  <c r="P72" i="1" s="1"/>
  <c r="J73" i="1"/>
  <c r="J74" i="1"/>
  <c r="P74" i="1" s="1"/>
  <c r="J75" i="1"/>
  <c r="P75" i="1" s="1"/>
  <c r="J76" i="1"/>
  <c r="P76" i="1" s="1"/>
  <c r="J77" i="1"/>
  <c r="P77" i="1" s="1"/>
  <c r="J78" i="1"/>
  <c r="P78" i="1" s="1"/>
  <c r="J79" i="1"/>
  <c r="P79" i="1" s="1"/>
  <c r="J80" i="1"/>
  <c r="P80" i="1" s="1"/>
  <c r="J81" i="1"/>
  <c r="P81" i="1" s="1"/>
  <c r="J82" i="1"/>
  <c r="P82" i="1" s="1"/>
  <c r="J83" i="1"/>
  <c r="P83" i="1" s="1"/>
  <c r="J84" i="1"/>
  <c r="P84" i="1" s="1"/>
  <c r="J85" i="1"/>
  <c r="P85" i="1" s="1"/>
  <c r="J86" i="1"/>
  <c r="P86" i="1" s="1"/>
  <c r="J87" i="1"/>
  <c r="P87" i="1" s="1"/>
  <c r="J88" i="1"/>
  <c r="P88" i="1" s="1"/>
  <c r="J89" i="1"/>
  <c r="P89" i="1" s="1"/>
  <c r="J90" i="1"/>
  <c r="P90" i="1" s="1"/>
  <c r="J91" i="1"/>
  <c r="P91" i="1" s="1"/>
  <c r="J92" i="1"/>
  <c r="P92" i="1" s="1"/>
  <c r="J93" i="1"/>
  <c r="P93" i="1" s="1"/>
  <c r="J94" i="1"/>
  <c r="P94" i="1" s="1"/>
  <c r="J95" i="1"/>
  <c r="P95" i="1" s="1"/>
  <c r="J96" i="1"/>
  <c r="P96" i="1" s="1"/>
  <c r="J97" i="1"/>
  <c r="P97" i="1" s="1"/>
  <c r="J98" i="1"/>
  <c r="P98" i="1" s="1"/>
  <c r="J99" i="1"/>
  <c r="P99" i="1" s="1"/>
  <c r="J100" i="1"/>
  <c r="P100" i="1" s="1"/>
  <c r="J101" i="1"/>
  <c r="P101" i="1" s="1"/>
  <c r="J102" i="1"/>
  <c r="P102" i="1" s="1"/>
  <c r="J103" i="1"/>
  <c r="P103" i="1" s="1"/>
  <c r="J104" i="1"/>
  <c r="P104" i="1" s="1"/>
  <c r="J105" i="1"/>
  <c r="P105" i="1" s="1"/>
  <c r="J106" i="1"/>
  <c r="P106" i="1" s="1"/>
  <c r="J107" i="1"/>
  <c r="P107" i="1" s="1"/>
  <c r="J108" i="1"/>
  <c r="P108" i="1" s="1"/>
  <c r="J109" i="1"/>
  <c r="P109" i="1" s="1"/>
  <c r="J110" i="1"/>
  <c r="J111" i="1"/>
  <c r="P111" i="1" s="1"/>
  <c r="J112" i="1"/>
  <c r="P112" i="1" s="1"/>
  <c r="J113" i="1"/>
  <c r="P113" i="1" s="1"/>
  <c r="J114" i="1"/>
  <c r="P114" i="1" s="1"/>
  <c r="J115" i="1"/>
  <c r="P115" i="1" s="1"/>
  <c r="J116" i="1"/>
  <c r="P116" i="1" s="1"/>
  <c r="J117" i="1"/>
  <c r="P117" i="1" s="1"/>
  <c r="J118" i="1"/>
  <c r="P118" i="1" s="1"/>
  <c r="J119" i="1"/>
  <c r="P119" i="1" s="1"/>
  <c r="J120" i="1"/>
  <c r="P120" i="1" s="1"/>
  <c r="J121" i="1"/>
  <c r="P121" i="1" s="1"/>
  <c r="J122" i="1"/>
  <c r="P122" i="1" s="1"/>
  <c r="J123" i="1"/>
  <c r="P123" i="1" s="1"/>
  <c r="J124" i="1"/>
  <c r="P124" i="1" s="1"/>
  <c r="J125" i="1"/>
  <c r="P125" i="1" s="1"/>
  <c r="J126" i="1"/>
  <c r="P126" i="1" s="1"/>
  <c r="J127" i="1"/>
  <c r="P127" i="1" s="1"/>
  <c r="J128" i="1"/>
  <c r="P128" i="1" s="1"/>
  <c r="J129" i="1"/>
  <c r="P129" i="1" s="1"/>
  <c r="J130" i="1"/>
  <c r="P130" i="1" s="1"/>
  <c r="J131" i="1"/>
  <c r="P131" i="1" s="1"/>
  <c r="J132" i="1"/>
  <c r="P132" i="1" s="1"/>
  <c r="J133" i="1"/>
  <c r="J134" i="1"/>
  <c r="P134" i="1" s="1"/>
  <c r="J135" i="1"/>
  <c r="P135" i="1" s="1"/>
  <c r="J136" i="1"/>
  <c r="P136" i="1" s="1"/>
  <c r="J137" i="1"/>
  <c r="P137" i="1" s="1"/>
  <c r="J138" i="1"/>
  <c r="P138" i="1" s="1"/>
  <c r="J139" i="1"/>
  <c r="P139" i="1" s="1"/>
  <c r="J140" i="1"/>
  <c r="P140" i="1" s="1"/>
  <c r="J141" i="1"/>
  <c r="P141" i="1" s="1"/>
  <c r="J142" i="1"/>
  <c r="P142" i="1" s="1"/>
  <c r="J143" i="1"/>
  <c r="P143" i="1" s="1"/>
  <c r="J144" i="1"/>
  <c r="P144" i="1" s="1"/>
  <c r="J145" i="1"/>
  <c r="P145" i="1" s="1"/>
  <c r="J146" i="1"/>
  <c r="P146" i="1" s="1"/>
  <c r="J147" i="1"/>
  <c r="P147" i="1" s="1"/>
  <c r="J148" i="1"/>
  <c r="P148" i="1" s="1"/>
  <c r="J149" i="1"/>
  <c r="P149" i="1" s="1"/>
  <c r="J150" i="1"/>
  <c r="P150" i="1" s="1"/>
  <c r="J151" i="1"/>
  <c r="P151" i="1" s="1"/>
  <c r="J152" i="1"/>
  <c r="P152" i="1" s="1"/>
  <c r="J153" i="1"/>
  <c r="P153" i="1" s="1"/>
  <c r="J154" i="1"/>
  <c r="P154" i="1" s="1"/>
  <c r="J155" i="1"/>
  <c r="P155" i="1" s="1"/>
  <c r="J156" i="1"/>
  <c r="P156" i="1" s="1"/>
  <c r="J157" i="1"/>
  <c r="J158" i="1"/>
  <c r="P158" i="1" s="1"/>
  <c r="J159" i="1"/>
  <c r="P159" i="1" s="1"/>
  <c r="J160" i="1"/>
  <c r="P160" i="1" s="1"/>
  <c r="J161" i="1"/>
  <c r="P161" i="1" s="1"/>
  <c r="J162" i="1"/>
  <c r="P162" i="1" s="1"/>
  <c r="J163" i="1"/>
  <c r="P163" i="1" s="1"/>
  <c r="J164" i="1"/>
  <c r="P164" i="1" s="1"/>
  <c r="J165" i="1"/>
  <c r="P165" i="1" s="1"/>
  <c r="J166" i="1"/>
  <c r="P166" i="1" s="1"/>
  <c r="J167" i="1"/>
  <c r="P167" i="1" s="1"/>
  <c r="J168" i="1"/>
  <c r="P168" i="1" s="1"/>
  <c r="J169" i="1"/>
  <c r="P169" i="1" s="1"/>
  <c r="J170" i="1"/>
  <c r="P170" i="1" s="1"/>
  <c r="Q170" i="1" s="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C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2" i="11"/>
  <c r="A167" i="12"/>
  <c r="A168" i="12"/>
  <c r="A169" i="12"/>
  <c r="A170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2" i="12"/>
  <c r="C170" i="3"/>
  <c r="D170" i="3"/>
  <c r="E170" i="3"/>
  <c r="F170" i="3"/>
  <c r="J170" i="3"/>
  <c r="I170" i="3" s="1"/>
  <c r="A170" i="3"/>
  <c r="R170" i="1"/>
  <c r="S170" i="1" s="1"/>
  <c r="P4" i="1"/>
  <c r="P73" i="1"/>
  <c r="P110" i="1"/>
  <c r="P133" i="1"/>
  <c r="P157" i="1"/>
  <c r="C167" i="3"/>
  <c r="C168" i="3"/>
  <c r="C169" i="3"/>
  <c r="D167" i="3"/>
  <c r="D168" i="3"/>
  <c r="D169" i="3"/>
  <c r="E167" i="3"/>
  <c r="E168" i="3"/>
  <c r="E169" i="3"/>
  <c r="F167" i="3"/>
  <c r="F168" i="3"/>
  <c r="F169" i="3"/>
  <c r="J167" i="3"/>
  <c r="I167" i="3" s="1"/>
  <c r="J168" i="3"/>
  <c r="I168" i="3" s="1"/>
  <c r="J169" i="3"/>
  <c r="I169" i="3" s="1"/>
  <c r="A167" i="3"/>
  <c r="A168" i="3"/>
  <c r="A169" i="3"/>
  <c r="C166" i="3"/>
  <c r="D166" i="3"/>
  <c r="E166" i="3"/>
  <c r="F166" i="3"/>
  <c r="J166" i="3"/>
  <c r="I166" i="3" s="1"/>
  <c r="T166" i="1" s="1"/>
  <c r="A166" i="3"/>
  <c r="C165" i="3"/>
  <c r="D165" i="3"/>
  <c r="E165" i="3"/>
  <c r="F165" i="3"/>
  <c r="J165" i="3"/>
  <c r="I165" i="3" s="1"/>
  <c r="T165" i="1" s="1"/>
  <c r="A165" i="3"/>
  <c r="C164" i="3"/>
  <c r="D164" i="3"/>
  <c r="E164" i="3"/>
  <c r="F164" i="3"/>
  <c r="J164" i="3"/>
  <c r="A164" i="3"/>
  <c r="C161" i="3"/>
  <c r="C162" i="3"/>
  <c r="C163" i="3"/>
  <c r="D161" i="3"/>
  <c r="D162" i="3"/>
  <c r="D163" i="3"/>
  <c r="E161" i="3"/>
  <c r="E162" i="3"/>
  <c r="E163" i="3"/>
  <c r="F161" i="3"/>
  <c r="F162" i="3"/>
  <c r="F163" i="3"/>
  <c r="J161" i="3"/>
  <c r="I161" i="3" s="1"/>
  <c r="T161" i="1" s="1"/>
  <c r="J162" i="3"/>
  <c r="I162" i="3" s="1"/>
  <c r="T162" i="1" s="1"/>
  <c r="J163" i="3"/>
  <c r="I163" i="3" s="1"/>
  <c r="T163" i="1" s="1"/>
  <c r="A161" i="3"/>
  <c r="A162" i="3"/>
  <c r="A163" i="3"/>
  <c r="C160" i="3"/>
  <c r="D160" i="3"/>
  <c r="E160" i="3"/>
  <c r="F160" i="3"/>
  <c r="J160" i="3"/>
  <c r="A160" i="3"/>
  <c r="J159" i="3"/>
  <c r="I159" i="3" s="1"/>
  <c r="T159" i="1" s="1"/>
  <c r="F159" i="3"/>
  <c r="E159" i="3"/>
  <c r="D159" i="3"/>
  <c r="C159" i="3"/>
  <c r="A159" i="3"/>
  <c r="C158" i="3"/>
  <c r="D158" i="3"/>
  <c r="E158" i="3"/>
  <c r="F158" i="3"/>
  <c r="J158" i="3"/>
  <c r="I158" i="3" s="1"/>
  <c r="T158" i="1" s="1"/>
  <c r="A158" i="3"/>
  <c r="C156" i="3"/>
  <c r="C157" i="3"/>
  <c r="D156" i="3"/>
  <c r="D157" i="3"/>
  <c r="E156" i="3"/>
  <c r="E157" i="3"/>
  <c r="F156" i="3"/>
  <c r="F157" i="3"/>
  <c r="J156" i="3"/>
  <c r="I156" i="3" s="1"/>
  <c r="T156" i="1" s="1"/>
  <c r="J157" i="3"/>
  <c r="I157" i="3" s="1"/>
  <c r="T157" i="1" s="1"/>
  <c r="A156" i="3"/>
  <c r="A157" i="3"/>
  <c r="R158" i="1"/>
  <c r="S158" i="1" s="1"/>
  <c r="R157" i="1"/>
  <c r="S157" i="1" s="1"/>
  <c r="R156" i="1"/>
  <c r="S156" i="1" s="1"/>
  <c r="O36" i="1"/>
  <c r="C155" i="3"/>
  <c r="D155" i="3"/>
  <c r="E155" i="3"/>
  <c r="F155" i="3"/>
  <c r="J155" i="3"/>
  <c r="I155" i="3" s="1"/>
  <c r="T155" i="1" s="1"/>
  <c r="A155" i="3"/>
  <c r="J154" i="3"/>
  <c r="I154" i="3" s="1"/>
  <c r="T154" i="1" s="1"/>
  <c r="F154" i="3"/>
  <c r="E154" i="3"/>
  <c r="D154" i="3"/>
  <c r="A154" i="3"/>
  <c r="C154" i="3"/>
  <c r="F90" i="3"/>
  <c r="F91" i="3"/>
  <c r="C153" i="3"/>
  <c r="D153" i="3"/>
  <c r="E153" i="3"/>
  <c r="F153" i="3"/>
  <c r="J153" i="3"/>
  <c r="I153" i="3" s="1"/>
  <c r="T153" i="1" s="1"/>
  <c r="A153" i="3"/>
  <c r="I2" i="3"/>
  <c r="I3" i="3"/>
  <c r="T3" i="1" s="1"/>
  <c r="I4" i="3"/>
  <c r="T4" i="1" s="1"/>
  <c r="I5" i="3"/>
  <c r="T5" i="1" s="1"/>
  <c r="I11" i="3"/>
  <c r="T11" i="1" s="1"/>
  <c r="I12" i="3"/>
  <c r="T12" i="1" s="1"/>
  <c r="I15" i="3"/>
  <c r="T15" i="1" s="1"/>
  <c r="I16" i="3"/>
  <c r="T16" i="1" s="1"/>
  <c r="I17" i="3"/>
  <c r="T17" i="1" s="1"/>
  <c r="I18" i="3"/>
  <c r="T18" i="1" s="1"/>
  <c r="I19" i="3"/>
  <c r="T19" i="1" s="1"/>
  <c r="I20" i="3"/>
  <c r="T20" i="1" s="1"/>
  <c r="I21" i="3"/>
  <c r="T21" i="1" s="1"/>
  <c r="I22" i="3"/>
  <c r="T22" i="1" s="1"/>
  <c r="I23" i="3"/>
  <c r="T23" i="1" s="1"/>
  <c r="I24" i="3"/>
  <c r="T24" i="1" s="1"/>
  <c r="I26" i="3"/>
  <c r="T26" i="1" s="1"/>
  <c r="I29" i="3"/>
  <c r="T29" i="1" s="1"/>
  <c r="I32" i="3"/>
  <c r="T32" i="1" s="1"/>
  <c r="I33" i="3"/>
  <c r="T33" i="1" s="1"/>
  <c r="I35" i="3"/>
  <c r="T35" i="1" s="1"/>
  <c r="I37" i="3"/>
  <c r="T37" i="1" s="1"/>
  <c r="I38" i="3"/>
  <c r="T38" i="1" s="1"/>
  <c r="I39" i="3"/>
  <c r="T39" i="1" s="1"/>
  <c r="I40" i="3"/>
  <c r="T40" i="1" s="1"/>
  <c r="I41" i="3"/>
  <c r="T41" i="1" s="1"/>
  <c r="I42" i="3"/>
  <c r="T42" i="1" s="1"/>
  <c r="I43" i="3"/>
  <c r="T43" i="1" s="1"/>
  <c r="I44" i="3"/>
  <c r="T44" i="1" s="1"/>
  <c r="I45" i="3"/>
  <c r="T45" i="1" s="1"/>
  <c r="I46" i="3"/>
  <c r="T46" i="1" s="1"/>
  <c r="I47" i="3"/>
  <c r="T47" i="1" s="1"/>
  <c r="I48" i="3"/>
  <c r="T48" i="1" s="1"/>
  <c r="I49" i="3"/>
  <c r="T49" i="1" s="1"/>
  <c r="I50" i="3"/>
  <c r="T50" i="1" s="1"/>
  <c r="I51" i="3"/>
  <c r="T51" i="1" s="1"/>
  <c r="I53" i="3"/>
  <c r="T53" i="1" s="1"/>
  <c r="I56" i="3"/>
  <c r="T56" i="1" s="1"/>
  <c r="I57" i="3"/>
  <c r="T57" i="1" s="1"/>
  <c r="I59" i="3"/>
  <c r="T59" i="1" s="1"/>
  <c r="I60" i="3"/>
  <c r="T60" i="1" s="1"/>
  <c r="I61" i="3"/>
  <c r="T61" i="1" s="1"/>
  <c r="I63" i="3"/>
  <c r="T63" i="1" s="1"/>
  <c r="I64" i="3"/>
  <c r="T64" i="1" s="1"/>
  <c r="I65" i="3"/>
  <c r="T65" i="1" s="1"/>
  <c r="I68" i="3"/>
  <c r="T68" i="1" s="1"/>
  <c r="I69" i="3"/>
  <c r="T69" i="1" s="1"/>
  <c r="I70" i="3"/>
  <c r="T70" i="1" s="1"/>
  <c r="I71" i="3"/>
  <c r="T71" i="1" s="1"/>
  <c r="I72" i="3"/>
  <c r="T72" i="1" s="1"/>
  <c r="I73" i="3"/>
  <c r="T73" i="1" s="1"/>
  <c r="I74" i="3"/>
  <c r="T74" i="1" s="1"/>
  <c r="I75" i="3"/>
  <c r="T75" i="1" s="1"/>
  <c r="I77" i="3"/>
  <c r="T77" i="1" s="1"/>
  <c r="I78" i="3"/>
  <c r="T78" i="1" s="1"/>
  <c r="I79" i="3"/>
  <c r="T79" i="1" s="1"/>
  <c r="I84" i="3"/>
  <c r="T84" i="1" s="1"/>
  <c r="I85" i="3"/>
  <c r="T85" i="1" s="1"/>
  <c r="I87" i="3"/>
  <c r="T87" i="1" s="1"/>
  <c r="I95" i="3"/>
  <c r="T95" i="1" s="1"/>
  <c r="I96" i="3"/>
  <c r="T96" i="1" s="1"/>
  <c r="I97" i="3"/>
  <c r="T97" i="1" s="1"/>
  <c r="I106" i="3"/>
  <c r="T106" i="1" s="1"/>
  <c r="I107" i="3"/>
  <c r="T107" i="1" s="1"/>
  <c r="I151" i="3"/>
  <c r="T151" i="1" s="1"/>
  <c r="C152" i="3"/>
  <c r="D152" i="3"/>
  <c r="E152" i="3"/>
  <c r="F152" i="3"/>
  <c r="J152" i="3"/>
  <c r="I152" i="3" s="1"/>
  <c r="T152" i="1" s="1"/>
  <c r="A152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D151" i="3"/>
  <c r="E151" i="3"/>
  <c r="F151" i="3"/>
  <c r="J151" i="3"/>
  <c r="A151" i="3"/>
  <c r="D150" i="3"/>
  <c r="E150" i="3"/>
  <c r="F150" i="3"/>
  <c r="J150" i="3"/>
  <c r="A150" i="3"/>
  <c r="D149" i="3"/>
  <c r="E149" i="3"/>
  <c r="F149" i="3"/>
  <c r="J149" i="3"/>
  <c r="A149" i="3"/>
  <c r="D146" i="3"/>
  <c r="D147" i="3"/>
  <c r="D148" i="3"/>
  <c r="E146" i="3"/>
  <c r="E147" i="3"/>
  <c r="E148" i="3"/>
  <c r="F146" i="3"/>
  <c r="F147" i="3"/>
  <c r="F148" i="3"/>
  <c r="J146" i="3"/>
  <c r="I146" i="3" s="1"/>
  <c r="T146" i="1" s="1"/>
  <c r="J147" i="3"/>
  <c r="I147" i="3" s="1"/>
  <c r="T147" i="1" s="1"/>
  <c r="J148" i="3"/>
  <c r="A146" i="3"/>
  <c r="A147" i="3"/>
  <c r="A148" i="3"/>
  <c r="R147" i="1"/>
  <c r="S147" i="1" s="1"/>
  <c r="R146" i="1"/>
  <c r="S146" i="1" s="1"/>
  <c r="D144" i="3"/>
  <c r="D145" i="3"/>
  <c r="E144" i="3"/>
  <c r="E145" i="3"/>
  <c r="F144" i="3"/>
  <c r="F145" i="3"/>
  <c r="J144" i="3"/>
  <c r="I144" i="3" s="1"/>
  <c r="T144" i="1" s="1"/>
  <c r="J145" i="3"/>
  <c r="A144" i="3"/>
  <c r="A145" i="3"/>
  <c r="D141" i="3"/>
  <c r="D142" i="3"/>
  <c r="D143" i="3"/>
  <c r="E141" i="3"/>
  <c r="E142" i="3"/>
  <c r="E143" i="3"/>
  <c r="F141" i="3"/>
  <c r="F142" i="3"/>
  <c r="F143" i="3"/>
  <c r="J141" i="3"/>
  <c r="I141" i="3" s="1"/>
  <c r="T141" i="1" s="1"/>
  <c r="J142" i="3"/>
  <c r="I142" i="3" s="1"/>
  <c r="T142" i="1" s="1"/>
  <c r="J143" i="3"/>
  <c r="I143" i="3" s="1"/>
  <c r="T143" i="1" s="1"/>
  <c r="A141" i="3"/>
  <c r="A142" i="3"/>
  <c r="A143" i="3"/>
  <c r="D139" i="3"/>
  <c r="D140" i="3"/>
  <c r="E139" i="3"/>
  <c r="E140" i="3"/>
  <c r="F139" i="3"/>
  <c r="F140" i="3"/>
  <c r="J139" i="3"/>
  <c r="I139" i="3" s="1"/>
  <c r="T139" i="1" s="1"/>
  <c r="J140" i="3"/>
  <c r="I140" i="3" s="1"/>
  <c r="T140" i="1" s="1"/>
  <c r="A139" i="3"/>
  <c r="A140" i="3"/>
  <c r="D138" i="3"/>
  <c r="E138" i="3"/>
  <c r="F138" i="3"/>
  <c r="J138" i="3"/>
  <c r="A138" i="3"/>
  <c r="D137" i="3"/>
  <c r="E137" i="3"/>
  <c r="F137" i="3"/>
  <c r="J137" i="3"/>
  <c r="A137" i="3"/>
  <c r="D136" i="3"/>
  <c r="E136" i="3"/>
  <c r="F136" i="3"/>
  <c r="J136" i="3"/>
  <c r="A136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F135" i="3"/>
  <c r="J135" i="3"/>
  <c r="F132" i="3"/>
  <c r="F133" i="3"/>
  <c r="F134" i="3"/>
  <c r="J132" i="3"/>
  <c r="I132" i="3" s="1"/>
  <c r="T132" i="1" s="1"/>
  <c r="J133" i="3"/>
  <c r="I133" i="3" s="1"/>
  <c r="T133" i="1" s="1"/>
  <c r="J134" i="3"/>
  <c r="I134" i="3" s="1"/>
  <c r="T134" i="1" s="1"/>
  <c r="A2" i="3"/>
  <c r="E2" i="3"/>
  <c r="J2" i="3"/>
  <c r="J3" i="3"/>
  <c r="J4" i="3"/>
  <c r="J5" i="3"/>
  <c r="J6" i="3"/>
  <c r="I6" i="3" s="1"/>
  <c r="T6" i="1" s="1"/>
  <c r="J7" i="3"/>
  <c r="I7" i="3" s="1"/>
  <c r="T7" i="1" s="1"/>
  <c r="J8" i="3"/>
  <c r="I8" i="3" s="1"/>
  <c r="T8" i="1" s="1"/>
  <c r="J9" i="3"/>
  <c r="J10" i="3"/>
  <c r="I10" i="3" s="1"/>
  <c r="T10" i="1" s="1"/>
  <c r="J11" i="3"/>
  <c r="J12" i="3"/>
  <c r="J13" i="3"/>
  <c r="I13" i="3" s="1"/>
  <c r="T13" i="1" s="1"/>
  <c r="J14" i="3"/>
  <c r="I14" i="3" s="1"/>
  <c r="T14" i="1" s="1"/>
  <c r="J15" i="3"/>
  <c r="J16" i="3"/>
  <c r="J17" i="3"/>
  <c r="J18" i="3"/>
  <c r="J19" i="3"/>
  <c r="J20" i="3"/>
  <c r="J21" i="3"/>
  <c r="J22" i="3"/>
  <c r="J23" i="3"/>
  <c r="J24" i="3"/>
  <c r="J25" i="3"/>
  <c r="I25" i="3" s="1"/>
  <c r="T25" i="1" s="1"/>
  <c r="J26" i="3"/>
  <c r="J27" i="3"/>
  <c r="I27" i="3" s="1"/>
  <c r="T27" i="1" s="1"/>
  <c r="J28" i="3"/>
  <c r="I28" i="3" s="1"/>
  <c r="T28" i="1" s="1"/>
  <c r="J29" i="3"/>
  <c r="J30" i="3"/>
  <c r="I30" i="3" s="1"/>
  <c r="T30" i="1" s="1"/>
  <c r="J31" i="3"/>
  <c r="I31" i="3" s="1"/>
  <c r="T31" i="1" s="1"/>
  <c r="J32" i="3"/>
  <c r="J33" i="3"/>
  <c r="J34" i="3"/>
  <c r="I34" i="3" s="1"/>
  <c r="T34" i="1" s="1"/>
  <c r="J35" i="3"/>
  <c r="J36" i="3"/>
  <c r="I36" i="3" s="1"/>
  <c r="T36" i="1" s="1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I52" i="3" s="1"/>
  <c r="T52" i="1" s="1"/>
  <c r="J53" i="3"/>
  <c r="J54" i="3"/>
  <c r="I54" i="3" s="1"/>
  <c r="T54" i="1" s="1"/>
  <c r="J55" i="3"/>
  <c r="I55" i="3" s="1"/>
  <c r="T55" i="1" s="1"/>
  <c r="J56" i="3"/>
  <c r="J57" i="3"/>
  <c r="J58" i="3"/>
  <c r="I58" i="3" s="1"/>
  <c r="T58" i="1" s="1"/>
  <c r="J59" i="3"/>
  <c r="J60" i="3"/>
  <c r="J61" i="3"/>
  <c r="J62" i="3"/>
  <c r="I62" i="3" s="1"/>
  <c r="T62" i="1" s="1"/>
  <c r="J63" i="3"/>
  <c r="J64" i="3"/>
  <c r="J65" i="3"/>
  <c r="J66" i="3"/>
  <c r="I66" i="3" s="1"/>
  <c r="T66" i="1" s="1"/>
  <c r="J67" i="3"/>
  <c r="I67" i="3" s="1"/>
  <c r="T67" i="1" s="1"/>
  <c r="J68" i="3"/>
  <c r="J69" i="3"/>
  <c r="J70" i="3"/>
  <c r="J71" i="3"/>
  <c r="J72" i="3"/>
  <c r="J73" i="3"/>
  <c r="J74" i="3"/>
  <c r="J75" i="3"/>
  <c r="J76" i="3"/>
  <c r="I76" i="3" s="1"/>
  <c r="T76" i="1" s="1"/>
  <c r="J77" i="3"/>
  <c r="J78" i="3"/>
  <c r="J79" i="3"/>
  <c r="J80" i="3"/>
  <c r="I80" i="3" s="1"/>
  <c r="T80" i="1" s="1"/>
  <c r="J81" i="3"/>
  <c r="I81" i="3" s="1"/>
  <c r="T81" i="1" s="1"/>
  <c r="J82" i="3"/>
  <c r="I82" i="3" s="1"/>
  <c r="T82" i="1" s="1"/>
  <c r="J83" i="3"/>
  <c r="I83" i="3" s="1"/>
  <c r="T83" i="1" s="1"/>
  <c r="J84" i="3"/>
  <c r="J85" i="3"/>
  <c r="J86" i="3"/>
  <c r="I86" i="3" s="1"/>
  <c r="T86" i="1" s="1"/>
  <c r="J87" i="3"/>
  <c r="J88" i="3"/>
  <c r="I88" i="3" s="1"/>
  <c r="T88" i="1" s="1"/>
  <c r="J89" i="3"/>
  <c r="I89" i="3" s="1"/>
  <c r="T89" i="1" s="1"/>
  <c r="J90" i="3"/>
  <c r="I90" i="3" s="1"/>
  <c r="T90" i="1" s="1"/>
  <c r="J91" i="3"/>
  <c r="I91" i="3" s="1"/>
  <c r="T91" i="1" s="1"/>
  <c r="J92" i="3"/>
  <c r="I92" i="3" s="1"/>
  <c r="T92" i="1" s="1"/>
  <c r="J93" i="3"/>
  <c r="I93" i="3" s="1"/>
  <c r="T93" i="1" s="1"/>
  <c r="J94" i="3"/>
  <c r="I94" i="3" s="1"/>
  <c r="T94" i="1" s="1"/>
  <c r="J95" i="3"/>
  <c r="J96" i="3"/>
  <c r="J97" i="3"/>
  <c r="J98" i="3"/>
  <c r="I98" i="3" s="1"/>
  <c r="T98" i="1" s="1"/>
  <c r="J99" i="3"/>
  <c r="I99" i="3" s="1"/>
  <c r="T99" i="1" s="1"/>
  <c r="J100" i="3"/>
  <c r="I100" i="3" s="1"/>
  <c r="T100" i="1" s="1"/>
  <c r="J101" i="3"/>
  <c r="I101" i="3" s="1"/>
  <c r="T101" i="1" s="1"/>
  <c r="J102" i="3"/>
  <c r="I102" i="3" s="1"/>
  <c r="T102" i="1" s="1"/>
  <c r="J103" i="3"/>
  <c r="I103" i="3" s="1"/>
  <c r="T103" i="1" s="1"/>
  <c r="J104" i="3"/>
  <c r="I104" i="3" s="1"/>
  <c r="T104" i="1" s="1"/>
  <c r="J105" i="3"/>
  <c r="I105" i="3" s="1"/>
  <c r="T105" i="1" s="1"/>
  <c r="J106" i="3"/>
  <c r="J107" i="3"/>
  <c r="J108" i="3"/>
  <c r="I108" i="3" s="1"/>
  <c r="T108" i="1" s="1"/>
  <c r="J109" i="3"/>
  <c r="I109" i="3" s="1"/>
  <c r="T109" i="1" s="1"/>
  <c r="J110" i="3"/>
  <c r="I110" i="3" s="1"/>
  <c r="T110" i="1" s="1"/>
  <c r="J111" i="3"/>
  <c r="I111" i="3" s="1"/>
  <c r="T111" i="1" s="1"/>
  <c r="J112" i="3"/>
  <c r="I112" i="3" s="1"/>
  <c r="T112" i="1" s="1"/>
  <c r="J113" i="3"/>
  <c r="I113" i="3" s="1"/>
  <c r="T113" i="1" s="1"/>
  <c r="J114" i="3"/>
  <c r="I114" i="3" s="1"/>
  <c r="T114" i="1" s="1"/>
  <c r="J115" i="3"/>
  <c r="I115" i="3" s="1"/>
  <c r="T115" i="1" s="1"/>
  <c r="J116" i="3"/>
  <c r="I116" i="3" s="1"/>
  <c r="T116" i="1" s="1"/>
  <c r="J117" i="3"/>
  <c r="I117" i="3" s="1"/>
  <c r="T117" i="1" s="1"/>
  <c r="J118" i="3"/>
  <c r="I118" i="3" s="1"/>
  <c r="T118" i="1" s="1"/>
  <c r="J119" i="3"/>
  <c r="I119" i="3" s="1"/>
  <c r="T119" i="1" s="1"/>
  <c r="J120" i="3"/>
  <c r="I120" i="3" s="1"/>
  <c r="T120" i="1" s="1"/>
  <c r="J121" i="3"/>
  <c r="I121" i="3" s="1"/>
  <c r="T121" i="1" s="1"/>
  <c r="J122" i="3"/>
  <c r="I122" i="3" s="1"/>
  <c r="T122" i="1" s="1"/>
  <c r="J123" i="3"/>
  <c r="I123" i="3" s="1"/>
  <c r="T123" i="1" s="1"/>
  <c r="J124" i="3"/>
  <c r="I124" i="3" s="1"/>
  <c r="T124" i="1" s="1"/>
  <c r="J125" i="3"/>
  <c r="I125" i="3" s="1"/>
  <c r="T125" i="1" s="1"/>
  <c r="J126" i="3"/>
  <c r="I126" i="3" s="1"/>
  <c r="T126" i="1" s="1"/>
  <c r="J127" i="3"/>
  <c r="I127" i="3" s="1"/>
  <c r="T127" i="1" s="1"/>
  <c r="J128" i="3"/>
  <c r="I128" i="3" s="1"/>
  <c r="T128" i="1" s="1"/>
  <c r="J129" i="3"/>
  <c r="I129" i="3" s="1"/>
  <c r="T129" i="1" s="1"/>
  <c r="J130" i="3"/>
  <c r="I130" i="3" s="1"/>
  <c r="T130" i="1" s="1"/>
  <c r="J131" i="3"/>
  <c r="F130" i="3"/>
  <c r="F131" i="3"/>
  <c r="F121" i="3"/>
  <c r="F122" i="3"/>
  <c r="F123" i="3"/>
  <c r="F124" i="3"/>
  <c r="F125" i="3"/>
  <c r="F126" i="3"/>
  <c r="F127" i="3"/>
  <c r="F128" i="3"/>
  <c r="F129" i="3"/>
  <c r="F120" i="3"/>
  <c r="F119" i="3"/>
  <c r="F117" i="3"/>
  <c r="F118" i="3"/>
  <c r="F112" i="3"/>
  <c r="F113" i="3"/>
  <c r="F114" i="3"/>
  <c r="F115" i="3"/>
  <c r="F116" i="3"/>
  <c r="F111" i="3"/>
  <c r="F109" i="3"/>
  <c r="F110" i="3"/>
  <c r="F108" i="3"/>
  <c r="F106" i="3"/>
  <c r="F107" i="3"/>
  <c r="F105" i="3"/>
  <c r="F104" i="3"/>
  <c r="R106" i="1"/>
  <c r="S106" i="1" s="1"/>
  <c r="F102" i="3"/>
  <c r="F103" i="3"/>
  <c r="R105" i="1"/>
  <c r="S105" i="1" s="1"/>
  <c r="R104" i="1"/>
  <c r="S104" i="1" s="1"/>
  <c r="F101" i="3"/>
  <c r="R103" i="1"/>
  <c r="S103" i="1" s="1"/>
  <c r="F100" i="3"/>
  <c r="F99" i="3"/>
  <c r="F98" i="3"/>
  <c r="F97" i="3"/>
  <c r="F92" i="3"/>
  <c r="F93" i="3"/>
  <c r="F94" i="3"/>
  <c r="F95" i="3"/>
  <c r="F96" i="3"/>
  <c r="F87" i="3"/>
  <c r="F88" i="3"/>
  <c r="F89" i="3"/>
  <c r="F85" i="3"/>
  <c r="F86" i="3"/>
  <c r="F81" i="3"/>
  <c r="F82" i="3"/>
  <c r="F83" i="3"/>
  <c r="F84" i="3"/>
  <c r="F79" i="3"/>
  <c r="F80" i="3"/>
  <c r="F78" i="3"/>
  <c r="F76" i="3"/>
  <c r="F77" i="3"/>
  <c r="D2" i="3"/>
  <c r="F74" i="3"/>
  <c r="F75" i="3"/>
  <c r="F73" i="3"/>
  <c r="F72" i="3"/>
  <c r="F71" i="3"/>
  <c r="F67" i="3"/>
  <c r="F68" i="3"/>
  <c r="F69" i="3"/>
  <c r="F70" i="3"/>
  <c r="F66" i="3"/>
  <c r="F65" i="3"/>
  <c r="F63" i="3"/>
  <c r="F64" i="3"/>
  <c r="T147" i="12" l="1"/>
  <c r="T78" i="12"/>
  <c r="T63" i="12"/>
  <c r="T15" i="12"/>
  <c r="B163" i="3"/>
  <c r="B151" i="3"/>
  <c r="B139" i="3"/>
  <c r="B127" i="3"/>
  <c r="B115" i="3"/>
  <c r="B103" i="3"/>
  <c r="B91" i="3"/>
  <c r="B79" i="3"/>
  <c r="B67" i="3"/>
  <c r="B55" i="3"/>
  <c r="B43" i="3"/>
  <c r="B31" i="3"/>
  <c r="B19" i="3"/>
  <c r="B7" i="3"/>
  <c r="B167" i="12"/>
  <c r="B155" i="12"/>
  <c r="B143" i="12"/>
  <c r="B131" i="12"/>
  <c r="B119" i="12"/>
  <c r="B107" i="12"/>
  <c r="B95" i="12"/>
  <c r="B83" i="12"/>
  <c r="B71" i="12"/>
  <c r="B59" i="12"/>
  <c r="T59" i="12" s="1"/>
  <c r="B47" i="12"/>
  <c r="B35" i="12"/>
  <c r="B23" i="12"/>
  <c r="B11" i="12"/>
  <c r="T108" i="12"/>
  <c r="T104" i="12"/>
  <c r="T50" i="12"/>
  <c r="T158" i="12"/>
  <c r="T114" i="12"/>
  <c r="T66" i="12"/>
  <c r="T124" i="12"/>
  <c r="T100" i="12"/>
  <c r="T52" i="12"/>
  <c r="T123" i="12"/>
  <c r="T111" i="12"/>
  <c r="T99" i="12"/>
  <c r="T27" i="12"/>
  <c r="T146" i="12"/>
  <c r="T77" i="12"/>
  <c r="T61" i="12"/>
  <c r="T45" i="12"/>
  <c r="T29" i="12"/>
  <c r="T12" i="12"/>
  <c r="B162" i="3"/>
  <c r="B150" i="3"/>
  <c r="B138" i="3"/>
  <c r="B126" i="3"/>
  <c r="B114" i="3"/>
  <c r="B102" i="3"/>
  <c r="B90" i="3"/>
  <c r="B78" i="3"/>
  <c r="B66" i="3"/>
  <c r="B54" i="3"/>
  <c r="B42" i="3"/>
  <c r="B30" i="3"/>
  <c r="B18" i="3"/>
  <c r="B6" i="3"/>
  <c r="B166" i="12"/>
  <c r="B154" i="12"/>
  <c r="B142" i="12"/>
  <c r="B130" i="12"/>
  <c r="B118" i="12"/>
  <c r="T118" i="12" s="1"/>
  <c r="B106" i="12"/>
  <c r="B94" i="12"/>
  <c r="T94" i="12" s="1"/>
  <c r="B82" i="12"/>
  <c r="T82" i="12" s="1"/>
  <c r="B70" i="12"/>
  <c r="B58" i="12"/>
  <c r="B46" i="12"/>
  <c r="T46" i="12" s="1"/>
  <c r="B34" i="12"/>
  <c r="B22" i="12"/>
  <c r="B10" i="12"/>
  <c r="T19" i="12"/>
  <c r="T90" i="12"/>
  <c r="T54" i="12"/>
  <c r="T112" i="12"/>
  <c r="T76" i="12"/>
  <c r="T110" i="12"/>
  <c r="T98" i="12"/>
  <c r="T86" i="12"/>
  <c r="T62" i="12"/>
  <c r="T14" i="12"/>
  <c r="T151" i="12"/>
  <c r="T75" i="12"/>
  <c r="T60" i="12"/>
  <c r="T44" i="12"/>
  <c r="T26" i="12"/>
  <c r="T11" i="12"/>
  <c r="T165" i="12"/>
  <c r="B161" i="3"/>
  <c r="B149" i="3"/>
  <c r="B137" i="3"/>
  <c r="B125" i="3"/>
  <c r="B113" i="3"/>
  <c r="B101" i="3"/>
  <c r="B89" i="3"/>
  <c r="B77" i="3"/>
  <c r="B65" i="3"/>
  <c r="B53" i="3"/>
  <c r="B41" i="3"/>
  <c r="B29" i="3"/>
  <c r="B17" i="3"/>
  <c r="B5" i="3"/>
  <c r="B165" i="12"/>
  <c r="B153" i="12"/>
  <c r="T153" i="12" s="1"/>
  <c r="B141" i="12"/>
  <c r="B129" i="12"/>
  <c r="B117" i="12"/>
  <c r="B105" i="12"/>
  <c r="B93" i="12"/>
  <c r="B81" i="12"/>
  <c r="B69" i="12"/>
  <c r="B57" i="12"/>
  <c r="T57" i="12" s="1"/>
  <c r="B45" i="12"/>
  <c r="B33" i="12"/>
  <c r="B21" i="12"/>
  <c r="T21" i="12" s="1"/>
  <c r="B9" i="12"/>
  <c r="T87" i="12"/>
  <c r="T30" i="12"/>
  <c r="T88" i="12"/>
  <c r="T28" i="12"/>
  <c r="T122" i="12"/>
  <c r="T121" i="12"/>
  <c r="T109" i="12"/>
  <c r="T25" i="12"/>
  <c r="T13" i="12"/>
  <c r="T107" i="12"/>
  <c r="T74" i="12"/>
  <c r="T43" i="12"/>
  <c r="T24" i="12"/>
  <c r="T5" i="12"/>
  <c r="B160" i="3"/>
  <c r="B148" i="3"/>
  <c r="B136" i="3"/>
  <c r="B124" i="3"/>
  <c r="B112" i="3"/>
  <c r="B100" i="3"/>
  <c r="B88" i="3"/>
  <c r="B76" i="3"/>
  <c r="B64" i="3"/>
  <c r="B52" i="3"/>
  <c r="B40" i="3"/>
  <c r="B28" i="3"/>
  <c r="B16" i="3"/>
  <c r="B4" i="3"/>
  <c r="B164" i="12"/>
  <c r="B152" i="12"/>
  <c r="B140" i="12"/>
  <c r="B128" i="12"/>
  <c r="B116" i="12"/>
  <c r="T116" i="12" s="1"/>
  <c r="B104" i="12"/>
  <c r="B92" i="12"/>
  <c r="B80" i="12"/>
  <c r="B68" i="12"/>
  <c r="B56" i="12"/>
  <c r="T56" i="12" s="1"/>
  <c r="B44" i="12"/>
  <c r="B32" i="12"/>
  <c r="T32" i="12" s="1"/>
  <c r="B20" i="12"/>
  <c r="T20" i="12" s="1"/>
  <c r="B8" i="12"/>
  <c r="T8" i="12" s="1"/>
  <c r="T163" i="12"/>
  <c r="T171" i="12"/>
  <c r="B171" i="3"/>
  <c r="B159" i="3"/>
  <c r="B147" i="3"/>
  <c r="B135" i="3"/>
  <c r="B123" i="3"/>
  <c r="B111" i="3"/>
  <c r="B99" i="3"/>
  <c r="B87" i="3"/>
  <c r="B75" i="3"/>
  <c r="B63" i="3"/>
  <c r="B51" i="3"/>
  <c r="B39" i="3"/>
  <c r="B27" i="3"/>
  <c r="B15" i="3"/>
  <c r="B3" i="3"/>
  <c r="T162" i="12"/>
  <c r="B170" i="3"/>
  <c r="B158" i="3"/>
  <c r="B146" i="3"/>
  <c r="B134" i="3"/>
  <c r="B122" i="3"/>
  <c r="B110" i="3"/>
  <c r="B98" i="3"/>
  <c r="B86" i="3"/>
  <c r="B74" i="3"/>
  <c r="B62" i="3"/>
  <c r="B50" i="3"/>
  <c r="B38" i="3"/>
  <c r="B26" i="3"/>
  <c r="B14" i="3"/>
  <c r="B2" i="3"/>
  <c r="T120" i="12"/>
  <c r="T73" i="12"/>
  <c r="T4" i="12"/>
  <c r="T119" i="12"/>
  <c r="T83" i="12"/>
  <c r="T72" i="12"/>
  <c r="T22" i="12"/>
  <c r="T130" i="12"/>
  <c r="T58" i="12"/>
  <c r="T34" i="12"/>
  <c r="T10" i="12"/>
  <c r="T133" i="12"/>
  <c r="T96" i="12"/>
  <c r="T71" i="12"/>
  <c r="T53" i="12"/>
  <c r="T40" i="12"/>
  <c r="T159" i="12"/>
  <c r="T161" i="12"/>
  <c r="B169" i="3"/>
  <c r="B157" i="3"/>
  <c r="B145" i="3"/>
  <c r="B133" i="3"/>
  <c r="B121" i="3"/>
  <c r="B109" i="3"/>
  <c r="B97" i="3"/>
  <c r="B85" i="3"/>
  <c r="B73" i="3"/>
  <c r="B61" i="3"/>
  <c r="B49" i="3"/>
  <c r="B37" i="3"/>
  <c r="B25" i="3"/>
  <c r="B13" i="3"/>
  <c r="T36" i="12"/>
  <c r="T106" i="12"/>
  <c r="T42" i="12"/>
  <c r="T23" i="12"/>
  <c r="T134" i="12"/>
  <c r="T97" i="12"/>
  <c r="T41" i="12"/>
  <c r="T3" i="12"/>
  <c r="T129" i="12"/>
  <c r="T117" i="12"/>
  <c r="T105" i="12"/>
  <c r="T93" i="12"/>
  <c r="T81" i="12"/>
  <c r="T132" i="12"/>
  <c r="T95" i="12"/>
  <c r="T70" i="12"/>
  <c r="T51" i="12"/>
  <c r="T39" i="12"/>
  <c r="B168" i="3"/>
  <c r="B156" i="3"/>
  <c r="B144" i="3"/>
  <c r="B132" i="3"/>
  <c r="B120" i="3"/>
  <c r="B108" i="3"/>
  <c r="B96" i="3"/>
  <c r="B84" i="3"/>
  <c r="B72" i="3"/>
  <c r="B60" i="3"/>
  <c r="B48" i="3"/>
  <c r="B36" i="3"/>
  <c r="B24" i="3"/>
  <c r="B12" i="3"/>
  <c r="T80" i="12"/>
  <c r="T69" i="12"/>
  <c r="T154" i="12"/>
  <c r="T127" i="12"/>
  <c r="T115" i="12"/>
  <c r="T103" i="12"/>
  <c r="T91" i="12"/>
  <c r="T67" i="12"/>
  <c r="T55" i="12"/>
  <c r="T31" i="12"/>
  <c r="T7" i="12"/>
  <c r="T140" i="12"/>
  <c r="T142" i="12"/>
  <c r="T152" i="12"/>
  <c r="T85" i="12"/>
  <c r="T68" i="12"/>
  <c r="T49" i="12"/>
  <c r="T37" i="12"/>
  <c r="T18" i="12"/>
  <c r="T157" i="12"/>
  <c r="T139" i="12"/>
  <c r="T65" i="12"/>
  <c r="T35" i="12"/>
  <c r="T155" i="12"/>
  <c r="T156" i="12"/>
  <c r="T128" i="12"/>
  <c r="T92" i="12"/>
  <c r="T143" i="12"/>
  <c r="T38" i="12"/>
  <c r="T166" i="12"/>
  <c r="T126" i="12"/>
  <c r="T102" i="12"/>
  <c r="T6" i="12"/>
  <c r="T141" i="12"/>
  <c r="T84" i="12"/>
  <c r="T48" i="12"/>
  <c r="T17" i="12"/>
  <c r="T125" i="12"/>
  <c r="T113" i="12"/>
  <c r="T101" i="12"/>
  <c r="T89" i="12"/>
  <c r="T144" i="12"/>
  <c r="T79" i="12"/>
  <c r="T64" i="12"/>
  <c r="T47" i="12"/>
  <c r="T33" i="12"/>
  <c r="T16" i="12"/>
  <c r="M171" i="1"/>
  <c r="S185" i="12"/>
  <c r="S184" i="12"/>
  <c r="S183" i="12"/>
  <c r="S182" i="12"/>
  <c r="S181" i="12"/>
  <c r="S180" i="12"/>
  <c r="S179" i="12"/>
  <c r="S178" i="12"/>
  <c r="S177" i="12"/>
  <c r="S176" i="12"/>
  <c r="S175" i="12"/>
  <c r="S174" i="12"/>
  <c r="S173" i="12"/>
  <c r="S172" i="12"/>
  <c r="S140" i="12"/>
  <c r="S152" i="12"/>
  <c r="M152" i="1" s="1"/>
  <c r="S115" i="12"/>
  <c r="M115" i="1" s="1"/>
  <c r="S112" i="12"/>
  <c r="S103" i="12"/>
  <c r="S100" i="12"/>
  <c r="S91" i="12"/>
  <c r="M91" i="1" s="1"/>
  <c r="S88" i="12"/>
  <c r="M88" i="1" s="1"/>
  <c r="S76" i="12"/>
  <c r="S67" i="12"/>
  <c r="S147" i="12"/>
  <c r="M147" i="1" s="1"/>
  <c r="S111" i="12"/>
  <c r="S108" i="12"/>
  <c r="S99" i="12"/>
  <c r="S57" i="12"/>
  <c r="S139" i="12"/>
  <c r="S72" i="12"/>
  <c r="M72" i="1" s="1"/>
  <c r="S153" i="12"/>
  <c r="S166" i="12"/>
  <c r="M166" i="1" s="1"/>
  <c r="S130" i="12"/>
  <c r="M130" i="1" s="1"/>
  <c r="S129" i="12"/>
  <c r="M129" i="1" s="1"/>
  <c r="S128" i="12"/>
  <c r="M128" i="1" s="1"/>
  <c r="S127" i="12"/>
  <c r="M127" i="1" s="1"/>
  <c r="S126" i="12"/>
  <c r="M126" i="1" s="1"/>
  <c r="S125" i="12"/>
  <c r="M125" i="1" s="1"/>
  <c r="S124" i="12"/>
  <c r="M124" i="1" s="1"/>
  <c r="S123" i="12"/>
  <c r="M123" i="1" s="1"/>
  <c r="S122" i="12"/>
  <c r="M122" i="1" s="1"/>
  <c r="S121" i="12"/>
  <c r="S120" i="12"/>
  <c r="S119" i="12"/>
  <c r="S118" i="12"/>
  <c r="S117" i="12"/>
  <c r="M117" i="1" s="1"/>
  <c r="S116" i="12"/>
  <c r="S114" i="12"/>
  <c r="M114" i="1" s="1"/>
  <c r="S113" i="12"/>
  <c r="S110" i="12"/>
  <c r="M110" i="1" s="1"/>
  <c r="S109" i="12"/>
  <c r="S105" i="12"/>
  <c r="M105" i="1" s="1"/>
  <c r="S104" i="12"/>
  <c r="S102" i="12"/>
  <c r="M102" i="1" s="1"/>
  <c r="S101" i="12"/>
  <c r="M101" i="1" s="1"/>
  <c r="S98" i="12"/>
  <c r="M98" i="1" s="1"/>
  <c r="S94" i="12"/>
  <c r="S93" i="12"/>
  <c r="M93" i="1" s="1"/>
  <c r="S92" i="12"/>
  <c r="M92" i="1" s="1"/>
  <c r="S90" i="12"/>
  <c r="S89" i="12"/>
  <c r="S86" i="12"/>
  <c r="M86" i="1" s="1"/>
  <c r="S83" i="12"/>
  <c r="S82" i="12"/>
  <c r="S81" i="12"/>
  <c r="M81" i="1" s="1"/>
  <c r="S80" i="12"/>
  <c r="M80" i="1" s="1"/>
  <c r="S66" i="12"/>
  <c r="M66" i="1" s="1"/>
  <c r="S62" i="12"/>
  <c r="M62" i="1" s="1"/>
  <c r="S58" i="12"/>
  <c r="M58" i="1" s="1"/>
  <c r="S55" i="12"/>
  <c r="M55" i="1" s="1"/>
  <c r="S54" i="12"/>
  <c r="M54" i="1" s="1"/>
  <c r="S52" i="12"/>
  <c r="M52" i="1" s="1"/>
  <c r="S36" i="12"/>
  <c r="S34" i="12"/>
  <c r="M34" i="1" s="1"/>
  <c r="S31" i="12"/>
  <c r="S30" i="12"/>
  <c r="M30" i="1" s="1"/>
  <c r="S28" i="12"/>
  <c r="S27" i="12"/>
  <c r="M27" i="1" s="1"/>
  <c r="S25" i="12"/>
  <c r="M25" i="1" s="1"/>
  <c r="S14" i="12"/>
  <c r="M14" i="1" s="1"/>
  <c r="S13" i="12"/>
  <c r="M13" i="1" s="1"/>
  <c r="S10" i="12"/>
  <c r="M10" i="1" s="1"/>
  <c r="S8" i="12"/>
  <c r="S7" i="12"/>
  <c r="M7" i="1" s="1"/>
  <c r="S6" i="12"/>
  <c r="S134" i="12"/>
  <c r="S133" i="12"/>
  <c r="S132" i="12"/>
  <c r="S143" i="12"/>
  <c r="M143" i="1" s="1"/>
  <c r="S142" i="12"/>
  <c r="S141" i="12"/>
  <c r="S144" i="12"/>
  <c r="M144" i="1" s="1"/>
  <c r="S146" i="12"/>
  <c r="S151" i="12"/>
  <c r="M151" i="1" s="1"/>
  <c r="S107" i="12"/>
  <c r="M107" i="1" s="1"/>
  <c r="S106" i="12"/>
  <c r="M106" i="1" s="1"/>
  <c r="S97" i="12"/>
  <c r="M97" i="1" s="1"/>
  <c r="S96" i="12"/>
  <c r="M96" i="1" s="1"/>
  <c r="S95" i="12"/>
  <c r="M95" i="1" s="1"/>
  <c r="S87" i="12"/>
  <c r="M87" i="1" s="1"/>
  <c r="S85" i="12"/>
  <c r="M85" i="1" s="1"/>
  <c r="S84" i="12"/>
  <c r="M84" i="1" s="1"/>
  <c r="S79" i="12"/>
  <c r="M79" i="1" s="1"/>
  <c r="S78" i="12"/>
  <c r="M78" i="1" s="1"/>
  <c r="S77" i="12"/>
  <c r="M77" i="1" s="1"/>
  <c r="S75" i="12"/>
  <c r="M75" i="1" s="1"/>
  <c r="S74" i="12"/>
  <c r="M74" i="1" s="1"/>
  <c r="S73" i="12"/>
  <c r="M73" i="1" s="1"/>
  <c r="S71" i="12"/>
  <c r="M71" i="1" s="1"/>
  <c r="S70" i="12"/>
  <c r="M70" i="1" s="1"/>
  <c r="S69" i="12"/>
  <c r="M69" i="1" s="1"/>
  <c r="S68" i="12"/>
  <c r="M68" i="1" s="1"/>
  <c r="S65" i="12"/>
  <c r="M65" i="1" s="1"/>
  <c r="S64" i="12"/>
  <c r="M64" i="1" s="1"/>
  <c r="S63" i="12"/>
  <c r="M63" i="1" s="1"/>
  <c r="S61" i="12"/>
  <c r="M61" i="1" s="1"/>
  <c r="S60" i="12"/>
  <c r="M60" i="1" s="1"/>
  <c r="S59" i="12"/>
  <c r="S56" i="12"/>
  <c r="S53" i="12"/>
  <c r="M53" i="1" s="1"/>
  <c r="S51" i="12"/>
  <c r="M51" i="1" s="1"/>
  <c r="S50" i="12"/>
  <c r="M50" i="1" s="1"/>
  <c r="S49" i="12"/>
  <c r="M49" i="1" s="1"/>
  <c r="S48" i="12"/>
  <c r="M48" i="1" s="1"/>
  <c r="S47" i="12"/>
  <c r="M47" i="1" s="1"/>
  <c r="S46" i="12"/>
  <c r="S45" i="12"/>
  <c r="M45" i="1" s="1"/>
  <c r="S44" i="12"/>
  <c r="M44" i="1" s="1"/>
  <c r="S43" i="12"/>
  <c r="M43" i="1" s="1"/>
  <c r="S42" i="12"/>
  <c r="M42" i="1" s="1"/>
  <c r="S41" i="12"/>
  <c r="M41" i="1" s="1"/>
  <c r="S40" i="12"/>
  <c r="M40" i="1" s="1"/>
  <c r="S39" i="12"/>
  <c r="M39" i="1" s="1"/>
  <c r="S38" i="12"/>
  <c r="M38" i="1" s="1"/>
  <c r="S37" i="12"/>
  <c r="M37" i="1" s="1"/>
  <c r="S35" i="12"/>
  <c r="M35" i="1" s="1"/>
  <c r="S33" i="12"/>
  <c r="M33" i="1" s="1"/>
  <c r="S32" i="12"/>
  <c r="S29" i="12"/>
  <c r="M29" i="1" s="1"/>
  <c r="S26" i="12"/>
  <c r="M26" i="1" s="1"/>
  <c r="S24" i="12"/>
  <c r="M24" i="1" s="1"/>
  <c r="S23" i="12"/>
  <c r="M23" i="1" s="1"/>
  <c r="S22" i="12"/>
  <c r="M22" i="1" s="1"/>
  <c r="S21" i="12"/>
  <c r="S20" i="12"/>
  <c r="S19" i="12"/>
  <c r="M19" i="1" s="1"/>
  <c r="S18" i="12"/>
  <c r="M18" i="1" s="1"/>
  <c r="S17" i="12"/>
  <c r="M17" i="1" s="1"/>
  <c r="S16" i="12"/>
  <c r="M16" i="1" s="1"/>
  <c r="S15" i="12"/>
  <c r="M15" i="1" s="1"/>
  <c r="S12" i="12"/>
  <c r="M12" i="1" s="1"/>
  <c r="S11" i="12"/>
  <c r="M11" i="1" s="1"/>
  <c r="S5" i="12"/>
  <c r="M5" i="1" s="1"/>
  <c r="S4" i="12"/>
  <c r="M4" i="1" s="1"/>
  <c r="S3" i="12"/>
  <c r="M3" i="1" s="1"/>
  <c r="S154" i="12"/>
  <c r="M154" i="1" s="1"/>
  <c r="S155" i="12"/>
  <c r="S157" i="12"/>
  <c r="M157" i="1" s="1"/>
  <c r="S156" i="12"/>
  <c r="S158" i="12"/>
  <c r="S159" i="12"/>
  <c r="S163" i="12"/>
  <c r="S162" i="12"/>
  <c r="M162" i="1" s="1"/>
  <c r="S161" i="12"/>
  <c r="M161" i="1" s="1"/>
  <c r="S165" i="12"/>
  <c r="S169" i="12"/>
  <c r="S166" i="3"/>
  <c r="T167" i="1"/>
  <c r="T169" i="1"/>
  <c r="T169" i="12" s="1"/>
  <c r="T168" i="1"/>
  <c r="I9" i="3"/>
  <c r="T9" i="1" s="1"/>
  <c r="T9" i="12" s="1"/>
  <c r="T170" i="1"/>
  <c r="T170" i="12" s="1"/>
  <c r="P5" i="1"/>
  <c r="Q93" i="1"/>
  <c r="R93" i="1" s="1"/>
  <c r="S93" i="1" s="1"/>
  <c r="Q163" i="1"/>
  <c r="R163" i="1" s="1"/>
  <c r="S163" i="1" s="1"/>
  <c r="Q139" i="1"/>
  <c r="R139" i="1" s="1"/>
  <c r="S139" i="1" s="1"/>
  <c r="Q127" i="1"/>
  <c r="R127" i="1" s="1"/>
  <c r="S127" i="1" s="1"/>
  <c r="Q115" i="1"/>
  <c r="R115" i="1" s="1"/>
  <c r="S115" i="1" s="1"/>
  <c r="Q103" i="1"/>
  <c r="Q79" i="1"/>
  <c r="R79" i="1" s="1"/>
  <c r="S79" i="1" s="1"/>
  <c r="Q67" i="1"/>
  <c r="R67" i="1" s="1"/>
  <c r="S67" i="1" s="1"/>
  <c r="Q164" i="1"/>
  <c r="R164" i="1" s="1"/>
  <c r="S164" i="1" s="1"/>
  <c r="Q128" i="1"/>
  <c r="R128" i="1" s="1"/>
  <c r="S128" i="1" s="1"/>
  <c r="Q92" i="1"/>
  <c r="R92" i="1" s="1"/>
  <c r="S92" i="1" s="1"/>
  <c r="Q162" i="1"/>
  <c r="R162" i="1" s="1"/>
  <c r="S162" i="1" s="1"/>
  <c r="Q150" i="1"/>
  <c r="R150" i="1" s="1"/>
  <c r="S150" i="1" s="1"/>
  <c r="Q138" i="1"/>
  <c r="R138" i="1" s="1"/>
  <c r="S138" i="1" s="1"/>
  <c r="Q141" i="1"/>
  <c r="R141" i="1" s="1"/>
  <c r="S141" i="1" s="1"/>
  <c r="Q140" i="1"/>
  <c r="R140" i="1" s="1"/>
  <c r="S140" i="1" s="1"/>
  <c r="Q158" i="1"/>
  <c r="Q146" i="1"/>
  <c r="Q122" i="1"/>
  <c r="R122" i="1" s="1"/>
  <c r="S122" i="1" s="1"/>
  <c r="Q110" i="1"/>
  <c r="R110" i="1" s="1"/>
  <c r="S110" i="1" s="1"/>
  <c r="Q86" i="1"/>
  <c r="R86" i="1" s="1"/>
  <c r="S86" i="1" s="1"/>
  <c r="Q74" i="1"/>
  <c r="R74" i="1" s="1"/>
  <c r="S74" i="1" s="1"/>
  <c r="Q157" i="1"/>
  <c r="Q145" i="1"/>
  <c r="R145" i="1" s="1"/>
  <c r="S145" i="1" s="1"/>
  <c r="Q121" i="1"/>
  <c r="R121" i="1" s="1"/>
  <c r="S121" i="1" s="1"/>
  <c r="Q109" i="1"/>
  <c r="R109" i="1" s="1"/>
  <c r="S109" i="1" s="1"/>
  <c r="Q73" i="1"/>
  <c r="R73" i="1" s="1"/>
  <c r="S73" i="1" s="1"/>
  <c r="Q134" i="1"/>
  <c r="R134" i="1" s="1"/>
  <c r="S134" i="1" s="1"/>
  <c r="Q98" i="1"/>
  <c r="R98" i="1" s="1"/>
  <c r="S98" i="1" s="1"/>
  <c r="Q156" i="1"/>
  <c r="Q144" i="1"/>
  <c r="R144" i="1" s="1"/>
  <c r="S144" i="1" s="1"/>
  <c r="Q120" i="1"/>
  <c r="R120" i="1" s="1"/>
  <c r="S120" i="1" s="1"/>
  <c r="Q108" i="1"/>
  <c r="R108" i="1" s="1"/>
  <c r="S108" i="1" s="1"/>
  <c r="Q84" i="1"/>
  <c r="R84" i="1" s="1"/>
  <c r="S84" i="1" s="1"/>
  <c r="Q169" i="1"/>
  <c r="R169" i="1" s="1"/>
  <c r="S169" i="1" s="1"/>
  <c r="Q153" i="1"/>
  <c r="R153" i="1" s="1"/>
  <c r="S153" i="1" s="1"/>
  <c r="Q133" i="1"/>
  <c r="R133" i="1" s="1"/>
  <c r="S133" i="1" s="1"/>
  <c r="Q117" i="1"/>
  <c r="R117" i="1" s="1"/>
  <c r="S117" i="1" s="1"/>
  <c r="Q167" i="1"/>
  <c r="R167" i="1" s="1"/>
  <c r="S167" i="1" s="1"/>
  <c r="Q155" i="1"/>
  <c r="R155" i="1" s="1"/>
  <c r="S155" i="1" s="1"/>
  <c r="Q143" i="1"/>
  <c r="R143" i="1" s="1"/>
  <c r="S143" i="1" s="1"/>
  <c r="Q131" i="1"/>
  <c r="R131" i="1" s="1"/>
  <c r="S131" i="1" s="1"/>
  <c r="Q119" i="1"/>
  <c r="R119" i="1" s="1"/>
  <c r="S119" i="1" s="1"/>
  <c r="Q107" i="1"/>
  <c r="R107" i="1" s="1"/>
  <c r="S107" i="1" s="1"/>
  <c r="Q95" i="1"/>
  <c r="R95" i="1" s="1"/>
  <c r="S95" i="1" s="1"/>
  <c r="Q71" i="1"/>
  <c r="R71" i="1" s="1"/>
  <c r="S71" i="1" s="1"/>
  <c r="Q168" i="1"/>
  <c r="R168" i="1" s="1"/>
  <c r="S168" i="1" s="1"/>
  <c r="Q132" i="1"/>
  <c r="R132" i="1" s="1"/>
  <c r="S132" i="1" s="1"/>
  <c r="Q116" i="1"/>
  <c r="R116" i="1" s="1"/>
  <c r="S116" i="1" s="1"/>
  <c r="Q96" i="1"/>
  <c r="R96" i="1" s="1"/>
  <c r="S96" i="1" s="1"/>
  <c r="Q69" i="1"/>
  <c r="R69" i="1" s="1"/>
  <c r="S69" i="1" s="1"/>
  <c r="Q152" i="1"/>
  <c r="R152" i="1" s="1"/>
  <c r="S152" i="1" s="1"/>
  <c r="Q104" i="1"/>
  <c r="Q68" i="1"/>
  <c r="R68" i="1" s="1"/>
  <c r="S68" i="1" s="1"/>
  <c r="Q165" i="1"/>
  <c r="R165" i="1" s="1"/>
  <c r="S165" i="1" s="1"/>
  <c r="Q129" i="1"/>
  <c r="R129" i="1" s="1"/>
  <c r="S129" i="1" s="1"/>
  <c r="Q91" i="1"/>
  <c r="R91" i="1" s="1"/>
  <c r="S91" i="1" s="1"/>
  <c r="Q105" i="1"/>
  <c r="Q166" i="1"/>
  <c r="R166" i="1" s="1"/>
  <c r="S166" i="1" s="1"/>
  <c r="Q154" i="1"/>
  <c r="R154" i="1" s="1"/>
  <c r="S154" i="1" s="1"/>
  <c r="Q142" i="1"/>
  <c r="R142" i="1" s="1"/>
  <c r="S142" i="1" s="1"/>
  <c r="Q130" i="1"/>
  <c r="R130" i="1" s="1"/>
  <c r="S130" i="1" s="1"/>
  <c r="Q118" i="1"/>
  <c r="R118" i="1" s="1"/>
  <c r="S118" i="1" s="1"/>
  <c r="Q106" i="1"/>
  <c r="Q94" i="1"/>
  <c r="R94" i="1" s="1"/>
  <c r="S94" i="1" s="1"/>
  <c r="Q70" i="1"/>
  <c r="R70" i="1" s="1"/>
  <c r="S70" i="1" s="1"/>
  <c r="Q126" i="1"/>
  <c r="R126" i="1" s="1"/>
  <c r="S126" i="1" s="1"/>
  <c r="Q114" i="1"/>
  <c r="R114" i="1" s="1"/>
  <c r="S114" i="1" s="1"/>
  <c r="Q102" i="1"/>
  <c r="R102" i="1" s="1"/>
  <c r="S102" i="1" s="1"/>
  <c r="Q90" i="1"/>
  <c r="R90" i="1" s="1"/>
  <c r="S90" i="1" s="1"/>
  <c r="Q78" i="1"/>
  <c r="R78" i="1" s="1"/>
  <c r="S78" i="1" s="1"/>
  <c r="Q161" i="1"/>
  <c r="R161" i="1" s="1"/>
  <c r="S161" i="1" s="1"/>
  <c r="Q149" i="1"/>
  <c r="R149" i="1" s="1"/>
  <c r="S149" i="1" s="1"/>
  <c r="Q125" i="1"/>
  <c r="R125" i="1" s="1"/>
  <c r="S125" i="1" s="1"/>
  <c r="Q113" i="1"/>
  <c r="R113" i="1" s="1"/>
  <c r="S113" i="1" s="1"/>
  <c r="Q101" i="1"/>
  <c r="R101" i="1" s="1"/>
  <c r="S101" i="1" s="1"/>
  <c r="Q89" i="1"/>
  <c r="R89" i="1" s="1"/>
  <c r="S89" i="1" s="1"/>
  <c r="Q77" i="1"/>
  <c r="R77" i="1" s="1"/>
  <c r="S77" i="1" s="1"/>
  <c r="Q65" i="1"/>
  <c r="R65" i="1" s="1"/>
  <c r="S65" i="1" s="1"/>
  <c r="Q159" i="1"/>
  <c r="R159" i="1" s="1"/>
  <c r="S159" i="1" s="1"/>
  <c r="Q147" i="1"/>
  <c r="Q135" i="1"/>
  <c r="R135" i="1" s="1"/>
  <c r="S135" i="1" s="1"/>
  <c r="Q123" i="1"/>
  <c r="R123" i="1" s="1"/>
  <c r="S123" i="1" s="1"/>
  <c r="Q111" i="1"/>
  <c r="R111" i="1" s="1"/>
  <c r="S111" i="1" s="1"/>
  <c r="Q99" i="1"/>
  <c r="R99" i="1" s="1"/>
  <c r="S99" i="1" s="1"/>
  <c r="Q87" i="1"/>
  <c r="R87" i="1" s="1"/>
  <c r="S87" i="1" s="1"/>
  <c r="Q63" i="1"/>
  <c r="R63" i="1" s="1"/>
  <c r="S63" i="1" s="1"/>
  <c r="Q160" i="1"/>
  <c r="R160" i="1" s="1"/>
  <c r="S160" i="1" s="1"/>
  <c r="Q148" i="1"/>
  <c r="R148" i="1" s="1"/>
  <c r="S148" i="1" s="1"/>
  <c r="Q136" i="1"/>
  <c r="R136" i="1" s="1"/>
  <c r="S136" i="1" s="1"/>
  <c r="Q124" i="1"/>
  <c r="R124" i="1" s="1"/>
  <c r="S124" i="1" s="1"/>
  <c r="Q112" i="1"/>
  <c r="R112" i="1" s="1"/>
  <c r="S112" i="1" s="1"/>
  <c r="Q100" i="1"/>
  <c r="R100" i="1" s="1"/>
  <c r="S100" i="1" s="1"/>
  <c r="Q88" i="1"/>
  <c r="R88" i="1" s="1"/>
  <c r="S88" i="1" s="1"/>
  <c r="Q64" i="1"/>
  <c r="R64" i="1" s="1"/>
  <c r="S64" i="1" s="1"/>
  <c r="P2" i="1"/>
  <c r="Q137" i="1"/>
  <c r="R137" i="1" s="1"/>
  <c r="S137" i="1" s="1"/>
  <c r="Q151" i="1"/>
  <c r="R151" i="1" s="1"/>
  <c r="S151" i="1" s="1"/>
  <c r="I164" i="3"/>
  <c r="T164" i="1" s="1"/>
  <c r="T164" i="12" s="1"/>
  <c r="I160" i="3"/>
  <c r="T160" i="1" s="1"/>
  <c r="T160" i="12" s="1"/>
  <c r="I131" i="3"/>
  <c r="T131" i="1" s="1"/>
  <c r="T131" i="12" s="1"/>
  <c r="I135" i="3"/>
  <c r="T135" i="1" s="1"/>
  <c r="T135" i="12" s="1"/>
  <c r="I136" i="3"/>
  <c r="T136" i="1" s="1"/>
  <c r="T136" i="12" s="1"/>
  <c r="I137" i="3"/>
  <c r="T137" i="1" s="1"/>
  <c r="T137" i="12" s="1"/>
  <c r="I138" i="3"/>
  <c r="T138" i="1" s="1"/>
  <c r="T138" i="12" s="1"/>
  <c r="I145" i="3"/>
  <c r="T145" i="1" s="1"/>
  <c r="T145" i="12" s="1"/>
  <c r="I148" i="3"/>
  <c r="T148" i="1" s="1"/>
  <c r="T148" i="12" s="1"/>
  <c r="I149" i="3"/>
  <c r="T149" i="1" s="1"/>
  <c r="T149" i="12" s="1"/>
  <c r="I150" i="3"/>
  <c r="T150" i="1" s="1"/>
  <c r="T150" i="12" s="1"/>
  <c r="Q66" i="1"/>
  <c r="R66" i="1" s="1"/>
  <c r="S66" i="1" s="1"/>
  <c r="Q72" i="1"/>
  <c r="R72" i="1" s="1"/>
  <c r="S72" i="1" s="1"/>
  <c r="Q75" i="1"/>
  <c r="R75" i="1" s="1"/>
  <c r="S75" i="1" s="1"/>
  <c r="Q80" i="1"/>
  <c r="R80" i="1" s="1"/>
  <c r="S80" i="1" s="1"/>
  <c r="Q76" i="1"/>
  <c r="R76" i="1" s="1"/>
  <c r="S76" i="1" s="1"/>
  <c r="Q85" i="1"/>
  <c r="R85" i="1" s="1"/>
  <c r="S85" i="1" s="1"/>
  <c r="Q97" i="1"/>
  <c r="R97" i="1" s="1"/>
  <c r="S97" i="1" s="1"/>
  <c r="Q81" i="1"/>
  <c r="R81" i="1" s="1"/>
  <c r="S81" i="1" s="1"/>
  <c r="Q82" i="1"/>
  <c r="R82" i="1" s="1"/>
  <c r="S82" i="1" s="1"/>
  <c r="Q83" i="1"/>
  <c r="R83" i="1" s="1"/>
  <c r="S83" i="1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Q62" i="1"/>
  <c r="R62" i="1" s="1"/>
  <c r="S62" i="1" s="1"/>
  <c r="Q61" i="1"/>
  <c r="R61" i="1" s="1"/>
  <c r="S61" i="1" s="1"/>
  <c r="Q59" i="1"/>
  <c r="R59" i="1" s="1"/>
  <c r="S59" i="1" s="1"/>
  <c r="Q58" i="1"/>
  <c r="R58" i="1" s="1"/>
  <c r="S58" i="1" s="1"/>
  <c r="Q57" i="1"/>
  <c r="R57" i="1" s="1"/>
  <c r="S57" i="1" s="1"/>
  <c r="M165" i="1" l="1"/>
  <c r="M100" i="1"/>
  <c r="M119" i="1"/>
  <c r="M163" i="1"/>
  <c r="M142" i="1"/>
  <c r="M121" i="1"/>
  <c r="M103" i="1"/>
  <c r="M156" i="1"/>
  <c r="M83" i="1"/>
  <c r="N83" i="1" s="1"/>
  <c r="M109" i="1"/>
  <c r="N109" i="1" s="1"/>
  <c r="M146" i="1"/>
  <c r="N146" i="1" s="1"/>
  <c r="M159" i="1"/>
  <c r="N159" i="1" s="1"/>
  <c r="M104" i="1"/>
  <c r="M158" i="1"/>
  <c r="M132" i="1"/>
  <c r="M134" i="1"/>
  <c r="M155" i="1"/>
  <c r="N155" i="1" s="1"/>
  <c r="M6" i="1"/>
  <c r="M36" i="1"/>
  <c r="N36" i="1" s="1"/>
  <c r="M89" i="1"/>
  <c r="M113" i="1"/>
  <c r="M90" i="1"/>
  <c r="N90" i="1" s="1"/>
  <c r="M67" i="1"/>
  <c r="N67" i="1" s="1"/>
  <c r="M76" i="1"/>
  <c r="N76" i="1" s="1"/>
  <c r="M139" i="1"/>
  <c r="M120" i="1"/>
  <c r="N120" i="1" s="1"/>
  <c r="M28" i="1"/>
  <c r="M141" i="1"/>
  <c r="M133" i="1"/>
  <c r="N133" i="1" s="1"/>
  <c r="M31" i="1"/>
  <c r="M99" i="1"/>
  <c r="N99" i="1" s="1"/>
  <c r="M108" i="1"/>
  <c r="N108" i="1" s="1"/>
  <c r="M111" i="1"/>
  <c r="N111" i="1" s="1"/>
  <c r="M112" i="1"/>
  <c r="N112" i="1" s="1"/>
  <c r="M140" i="1"/>
  <c r="N140" i="1" s="1"/>
  <c r="M56" i="1"/>
  <c r="M116" i="1"/>
  <c r="N116" i="1" s="1"/>
  <c r="M20" i="1"/>
  <c r="M8" i="1"/>
  <c r="M59" i="1"/>
  <c r="M94" i="1"/>
  <c r="N94" i="1" s="1"/>
  <c r="M118" i="1"/>
  <c r="N118" i="1" s="1"/>
  <c r="M21" i="1"/>
  <c r="M153" i="1"/>
  <c r="N153" i="1" s="1"/>
  <c r="M32" i="1"/>
  <c r="M46" i="1"/>
  <c r="M82" i="1"/>
  <c r="N82" i="1" s="1"/>
  <c r="M57" i="1"/>
  <c r="S168" i="12"/>
  <c r="T168" i="12"/>
  <c r="S167" i="12"/>
  <c r="T167" i="12"/>
  <c r="M169" i="1"/>
  <c r="N169" i="1" s="1"/>
  <c r="N72" i="1"/>
  <c r="N171" i="1"/>
  <c r="N123" i="1"/>
  <c r="N100" i="1"/>
  <c r="N115" i="1"/>
  <c r="N124" i="1"/>
  <c r="N127" i="1"/>
  <c r="N130" i="1"/>
  <c r="N147" i="1"/>
  <c r="N88" i="1"/>
  <c r="N103" i="1"/>
  <c r="N152" i="1"/>
  <c r="N91" i="1"/>
  <c r="S150" i="12"/>
  <c r="M150" i="1" s="1"/>
  <c r="S149" i="12"/>
  <c r="M149" i="1" s="1"/>
  <c r="S148" i="12"/>
  <c r="M148" i="1" s="1"/>
  <c r="S145" i="12"/>
  <c r="M145" i="1" s="1"/>
  <c r="S138" i="12"/>
  <c r="M138" i="1" s="1"/>
  <c r="S137" i="12"/>
  <c r="M137" i="1" s="1"/>
  <c r="S136" i="12"/>
  <c r="M136" i="1" s="1"/>
  <c r="S135" i="12"/>
  <c r="M135" i="1" s="1"/>
  <c r="S131" i="12"/>
  <c r="M131" i="1" s="1"/>
  <c r="S160" i="12"/>
  <c r="M160" i="1" s="1"/>
  <c r="S164" i="12"/>
  <c r="M164" i="1" s="1"/>
  <c r="S9" i="12"/>
  <c r="M9" i="1" s="1"/>
  <c r="N126" i="1"/>
  <c r="N129" i="1"/>
  <c r="N139" i="1"/>
  <c r="N3" i="1"/>
  <c r="N11" i="1"/>
  <c r="N16" i="1"/>
  <c r="N19" i="1"/>
  <c r="N22" i="1"/>
  <c r="N26" i="1"/>
  <c r="N33" i="1"/>
  <c r="N38" i="1"/>
  <c r="N41" i="1"/>
  <c r="N44" i="1"/>
  <c r="N47" i="1"/>
  <c r="N50" i="1"/>
  <c r="N56" i="1"/>
  <c r="N60" i="1"/>
  <c r="N64" i="1"/>
  <c r="N69" i="1"/>
  <c r="N73" i="1"/>
  <c r="N77" i="1"/>
  <c r="N84" i="1"/>
  <c r="N95" i="1"/>
  <c r="N106" i="1"/>
  <c r="N113" i="1"/>
  <c r="N161" i="1"/>
  <c r="N13" i="1"/>
  <c r="N27" i="1"/>
  <c r="N31" i="1"/>
  <c r="N52" i="1"/>
  <c r="N80" i="1"/>
  <c r="N102" i="1"/>
  <c r="N61" i="1"/>
  <c r="N65" i="1"/>
  <c r="N70" i="1"/>
  <c r="N74" i="1"/>
  <c r="N78" i="1"/>
  <c r="N85" i="1"/>
  <c r="N96" i="1"/>
  <c r="N107" i="1"/>
  <c r="N144" i="1"/>
  <c r="N8" i="1"/>
  <c r="N28" i="1"/>
  <c r="N34" i="1"/>
  <c r="N62" i="1"/>
  <c r="N81" i="1"/>
  <c r="N92" i="1"/>
  <c r="N163" i="1"/>
  <c r="N156" i="1"/>
  <c r="N5" i="1"/>
  <c r="N15" i="1"/>
  <c r="N18" i="1"/>
  <c r="N21" i="1"/>
  <c r="N24" i="1"/>
  <c r="N32" i="1"/>
  <c r="N37" i="1"/>
  <c r="N40" i="1"/>
  <c r="N43" i="1"/>
  <c r="N46" i="1"/>
  <c r="N49" i="1"/>
  <c r="N53" i="1"/>
  <c r="T167" i="3"/>
  <c r="N114" i="1"/>
  <c r="N121" i="1"/>
  <c r="N57" i="1"/>
  <c r="N104" i="1"/>
  <c r="N110" i="1"/>
  <c r="N119" i="1"/>
  <c r="N122" i="1"/>
  <c r="N125" i="1"/>
  <c r="N128" i="1"/>
  <c r="N162" i="1"/>
  <c r="N158" i="1"/>
  <c r="N4" i="1"/>
  <c r="N12" i="1"/>
  <c r="N17" i="1"/>
  <c r="N20" i="1"/>
  <c r="N23" i="1"/>
  <c r="N29" i="1"/>
  <c r="N35" i="1"/>
  <c r="N39" i="1"/>
  <c r="N42" i="1"/>
  <c r="N45" i="1"/>
  <c r="N48" i="1"/>
  <c r="N51" i="1"/>
  <c r="N59" i="1"/>
  <c r="N63" i="1"/>
  <c r="N68" i="1"/>
  <c r="N71" i="1"/>
  <c r="N75" i="1"/>
  <c r="N79" i="1"/>
  <c r="N87" i="1"/>
  <c r="N97" i="1"/>
  <c r="N151" i="1"/>
  <c r="N141" i="1"/>
  <c r="N132" i="1"/>
  <c r="N6" i="1"/>
  <c r="N10" i="1"/>
  <c r="N25" i="1"/>
  <c r="N30" i="1"/>
  <c r="N55" i="1"/>
  <c r="N66" i="1"/>
  <c r="N89" i="1"/>
  <c r="N93" i="1"/>
  <c r="N101" i="1"/>
  <c r="S170" i="12"/>
  <c r="M170" i="1" s="1"/>
  <c r="N105" i="1"/>
  <c r="N98" i="1"/>
  <c r="N117" i="1"/>
  <c r="N154" i="1"/>
  <c r="N54" i="1"/>
  <c r="N142" i="1"/>
  <c r="N143" i="1"/>
  <c r="N166" i="1"/>
  <c r="N58" i="1"/>
  <c r="N14" i="1"/>
  <c r="N7" i="1"/>
  <c r="N86" i="1"/>
  <c r="N157" i="1"/>
  <c r="N134" i="1"/>
  <c r="N165" i="1"/>
  <c r="Q60" i="1"/>
  <c r="R60" i="1" s="1"/>
  <c r="S60" i="1" s="1"/>
  <c r="M168" i="1" l="1"/>
  <c r="N168" i="1" s="1"/>
  <c r="M167" i="1"/>
  <c r="N167" i="1" s="1"/>
  <c r="N138" i="1"/>
  <c r="N149" i="1"/>
  <c r="N145" i="1"/>
  <c r="N131" i="1"/>
  <c r="N137" i="1"/>
  <c r="N148" i="1"/>
  <c r="N170" i="1"/>
  <c r="N150" i="1"/>
  <c r="N164" i="1"/>
  <c r="N160" i="1"/>
  <c r="N136" i="1"/>
  <c r="N135" i="1"/>
  <c r="N9" i="1"/>
  <c r="Q56" i="1"/>
  <c r="R56" i="1" s="1"/>
  <c r="S56" i="1" s="1"/>
  <c r="Q55" i="1" l="1"/>
  <c r="R55" i="1" s="1"/>
  <c r="S55" i="1" s="1"/>
  <c r="Q54" i="1" l="1"/>
  <c r="R54" i="1" s="1"/>
  <c r="S54" i="1" s="1"/>
  <c r="Q53" i="1"/>
  <c r="R53" i="1" s="1"/>
  <c r="S53" i="1" s="1"/>
  <c r="F2" i="3" l="1"/>
  <c r="Q52" i="1"/>
  <c r="R52" i="1" s="1"/>
  <c r="S52" i="1" s="1"/>
  <c r="Q51" i="1"/>
  <c r="R51" i="1" s="1"/>
  <c r="S51" i="1" s="1"/>
  <c r="Q50" i="1"/>
  <c r="R50" i="1" s="1"/>
  <c r="S50" i="1" s="1"/>
  <c r="Q49" i="1"/>
  <c r="R49" i="1" s="1"/>
  <c r="S49" i="1" s="1"/>
  <c r="Q48" i="1"/>
  <c r="R48" i="1" s="1"/>
  <c r="S48" i="1" s="1"/>
  <c r="Q47" i="1"/>
  <c r="R47" i="1" s="1"/>
  <c r="S47" i="1" s="1"/>
  <c r="Q46" i="1"/>
  <c r="R46" i="1" s="1"/>
  <c r="S46" i="1" s="1"/>
  <c r="Q45" i="1"/>
  <c r="R45" i="1" s="1"/>
  <c r="S45" i="1" s="1"/>
  <c r="Q44" i="1"/>
  <c r="R44" i="1" s="1"/>
  <c r="S44" i="1" s="1"/>
  <c r="Q43" i="1"/>
  <c r="R43" i="1" s="1"/>
  <c r="S43" i="1" s="1"/>
  <c r="Q42" i="1"/>
  <c r="R42" i="1" s="1"/>
  <c r="S42" i="1" s="1"/>
  <c r="Q41" i="1"/>
  <c r="R41" i="1" s="1"/>
  <c r="S41" i="1" s="1"/>
  <c r="Q40" i="1"/>
  <c r="R40" i="1" s="1"/>
  <c r="S40" i="1" s="1"/>
  <c r="Q39" i="1"/>
  <c r="R39" i="1" s="1"/>
  <c r="S39" i="1" s="1"/>
  <c r="Q38" i="1"/>
  <c r="R38" i="1" s="1"/>
  <c r="S38" i="1" s="1"/>
  <c r="Q37" i="1"/>
  <c r="R37" i="1" s="1"/>
  <c r="S37" i="1" s="1"/>
  <c r="Q36" i="1"/>
  <c r="R36" i="1" s="1"/>
  <c r="S36" i="1" s="1"/>
  <c r="Q35" i="1"/>
  <c r="R35" i="1" s="1"/>
  <c r="S35" i="1" s="1"/>
  <c r="Q34" i="1"/>
  <c r="R34" i="1" s="1"/>
  <c r="S34" i="1" s="1"/>
  <c r="Q33" i="1"/>
  <c r="R33" i="1" s="1"/>
  <c r="S33" i="1" s="1"/>
  <c r="Q32" i="1"/>
  <c r="R32" i="1" s="1"/>
  <c r="S32" i="1" s="1"/>
  <c r="Q31" i="1"/>
  <c r="R31" i="1" s="1"/>
  <c r="S31" i="1" s="1"/>
  <c r="Q30" i="1"/>
  <c r="R30" i="1" s="1"/>
  <c r="S30" i="1" s="1"/>
  <c r="Q29" i="1"/>
  <c r="R29" i="1" s="1"/>
  <c r="S29" i="1" s="1"/>
  <c r="Q28" i="1"/>
  <c r="R28" i="1" s="1"/>
  <c r="S28" i="1" s="1"/>
  <c r="Q27" i="1"/>
  <c r="R27" i="1" s="1"/>
  <c r="S27" i="1" s="1"/>
  <c r="Q26" i="1"/>
  <c r="R26" i="1" s="1"/>
  <c r="S26" i="1" s="1"/>
  <c r="Q25" i="1"/>
  <c r="R25" i="1" s="1"/>
  <c r="S25" i="1" s="1"/>
  <c r="Q24" i="1"/>
  <c r="R24" i="1" s="1"/>
  <c r="S24" i="1" s="1"/>
  <c r="Q23" i="1"/>
  <c r="R23" i="1" s="1"/>
  <c r="S23" i="1" s="1"/>
  <c r="Q22" i="1"/>
  <c r="R22" i="1" s="1"/>
  <c r="S22" i="1" s="1"/>
  <c r="Q21" i="1"/>
  <c r="R21" i="1" s="1"/>
  <c r="S21" i="1" s="1"/>
  <c r="Q20" i="1"/>
  <c r="R20" i="1" s="1"/>
  <c r="S20" i="1" s="1"/>
  <c r="Q19" i="1"/>
  <c r="R19" i="1" s="1"/>
  <c r="S19" i="1" s="1"/>
  <c r="Q18" i="1"/>
  <c r="R18" i="1" s="1"/>
  <c r="S18" i="1" s="1"/>
  <c r="Q17" i="1"/>
  <c r="R17" i="1" s="1"/>
  <c r="S17" i="1" s="1"/>
  <c r="Q16" i="1"/>
  <c r="R16" i="1" s="1"/>
  <c r="S16" i="1" s="1"/>
  <c r="Q15" i="1"/>
  <c r="R15" i="1" s="1"/>
  <c r="S15" i="1" s="1"/>
  <c r="Q14" i="1"/>
  <c r="R14" i="1" s="1"/>
  <c r="S14" i="1" s="1"/>
  <c r="Q13" i="1"/>
  <c r="R13" i="1" s="1"/>
  <c r="S13" i="1" s="1"/>
  <c r="Q12" i="1"/>
  <c r="R12" i="1" s="1"/>
  <c r="S12" i="1" s="1"/>
  <c r="Q11" i="1"/>
  <c r="R11" i="1" s="1"/>
  <c r="S11" i="1" s="1"/>
  <c r="Q10" i="1"/>
  <c r="R10" i="1" s="1"/>
  <c r="S10" i="1" s="1"/>
  <c r="Q9" i="1"/>
  <c r="R9" i="1" s="1"/>
  <c r="S9" i="1" s="1"/>
  <c r="Q8" i="1"/>
  <c r="R8" i="1" s="1"/>
  <c r="S8" i="1" s="1"/>
  <c r="Q7" i="1"/>
  <c r="R7" i="1" s="1"/>
  <c r="S7" i="1" s="1"/>
  <c r="Q6" i="1"/>
  <c r="R6" i="1" s="1"/>
  <c r="S6" i="1" s="1"/>
  <c r="Q5" i="1"/>
  <c r="R5" i="1" s="1"/>
  <c r="S5" i="1" s="1"/>
  <c r="Q4" i="1"/>
  <c r="R4" i="1" s="1"/>
  <c r="S4" i="1" s="1"/>
  <c r="Q3" i="1"/>
  <c r="R3" i="1" s="1"/>
  <c r="S3" i="1" s="1"/>
  <c r="Q2" i="1"/>
  <c r="R2" i="1" l="1"/>
  <c r="T2" i="1"/>
  <c r="S2" i="12" s="1"/>
  <c r="T2" i="12" l="1"/>
  <c r="M2" i="1" s="1"/>
  <c r="S2" i="1"/>
  <c r="N2" i="1" l="1"/>
</calcChain>
</file>

<file path=xl/sharedStrings.xml><?xml version="1.0" encoding="utf-8"?>
<sst xmlns="http://schemas.openxmlformats.org/spreadsheetml/2006/main" count="1555" uniqueCount="623">
  <si>
    <t>ID SITE</t>
  </si>
  <si>
    <t>IDEX CONTEL</t>
  </si>
  <si>
    <t>CLIENTE</t>
  </si>
  <si>
    <t>CIDADE</t>
  </si>
  <si>
    <t>ESTADO</t>
  </si>
  <si>
    <t>LOCALIZAÇÃO</t>
  </si>
  <si>
    <t>SIENGE</t>
  </si>
  <si>
    <t>OS TOWER SYSTEM</t>
  </si>
  <si>
    <t>ANALISTA CONTEL</t>
  </si>
  <si>
    <t>VALOR EMPREITA</t>
  </si>
  <si>
    <t>MATERIAL</t>
  </si>
  <si>
    <t>FRETE/DEMAIS ITENS</t>
  </si>
  <si>
    <t xml:space="preserve">ETAPA </t>
  </si>
  <si>
    <t>STATUS</t>
  </si>
  <si>
    <t>ORÇAMENTO (RECEITA) (R$)</t>
  </si>
  <si>
    <t>CUSTOS TOTAIS (R$)</t>
  </si>
  <si>
    <t>LUCRO (R$)</t>
  </si>
  <si>
    <t>M.C%</t>
  </si>
  <si>
    <t>STATUS VIABILIDADE</t>
  </si>
  <si>
    <t>STATUS PRAZO</t>
  </si>
  <si>
    <t>BR88410-A</t>
  </si>
  <si>
    <t>SBA</t>
  </si>
  <si>
    <t>CUJIBIM</t>
  </si>
  <si>
    <t>RO</t>
  </si>
  <si>
    <t>https://maps.app.goo.gl/Bpy8uL8ayiBD3Kdj7</t>
  </si>
  <si>
    <t>PEDRO</t>
  </si>
  <si>
    <t>BR87873-R</t>
  </si>
  <si>
    <t>GOIÂNIA</t>
  </si>
  <si>
    <t>GO</t>
  </si>
  <si>
    <t>https://maps.app.goo.gl/TnE3sh9j2FyxrzrFA</t>
  </si>
  <si>
    <t>BR72396-A</t>
  </si>
  <si>
    <t>PONTE NOVA</t>
  </si>
  <si>
    <t>MG</t>
  </si>
  <si>
    <t>https://maps.app.goo.gl/5FumfAyzjMHGaKJY8</t>
  </si>
  <si>
    <t>DANIEL</t>
  </si>
  <si>
    <t>IHS</t>
  </si>
  <si>
    <t>TIMBÓ</t>
  </si>
  <si>
    <t>SC</t>
  </si>
  <si>
    <t>https://maps.app.goo.gl/GEmH9t4Wq3nsX1C89</t>
  </si>
  <si>
    <t>TRÊS MARIAS</t>
  </si>
  <si>
    <t>https://maps.app.goo.gl/NzQT4s3F2LTnY1nW9</t>
  </si>
  <si>
    <t>https://maps.app.goo.gl/FhvvJXRy7LcsaaeZ7</t>
  </si>
  <si>
    <t>POCRANE</t>
  </si>
  <si>
    <t>https://maps.app.goo.gl/3RSxxC8eTf2D8Cmh8</t>
  </si>
  <si>
    <t>SÃO GONÇALO DO ABAETÉ</t>
  </si>
  <si>
    <t>https://maps.app.goo.gl/mHsLofcw4vKxRipE6</t>
  </si>
  <si>
    <t>FORMOSO</t>
  </si>
  <si>
    <t>https://maps.app.goo.gl/JBh7GfA722cC6J6y7</t>
  </si>
  <si>
    <t>QUIXADÁ</t>
  </si>
  <si>
    <t>CE</t>
  </si>
  <si>
    <t>https://maps.app.goo.gl/QdG7puZ7e7jJzaxS9</t>
  </si>
  <si>
    <t>MALHADA</t>
  </si>
  <si>
    <t>https://maps.app.goo.gl/7anpJtZhoq92gEPg7</t>
  </si>
  <si>
    <t>BERNARDINO BATISTA</t>
  </si>
  <si>
    <t>PB</t>
  </si>
  <si>
    <t>https://maps.app.goo.gl/rkUwhhpPfBuKEvyx7</t>
  </si>
  <si>
    <t>LAGOA DO SITIO</t>
  </si>
  <si>
    <t>PI</t>
  </si>
  <si>
    <t>https://maps.app.goo.gl/1h4ggSVzz3kafxQu8</t>
  </si>
  <si>
    <t>BR55017-A</t>
  </si>
  <si>
    <t>MARQUES DE SOUSA</t>
  </si>
  <si>
    <t>RS</t>
  </si>
  <si>
    <t>https://maps.app.goo.gl/NXVPhzLsuvYKgB5N9</t>
  </si>
  <si>
    <t>DANILO</t>
  </si>
  <si>
    <t>BR56393-A</t>
  </si>
  <si>
    <t>TUPACIGUARA</t>
  </si>
  <si>
    <t>https://maps.app.goo.gl/68P1u6qzLNHyVJf99</t>
  </si>
  <si>
    <t>BR72051-A</t>
  </si>
  <si>
    <t>ÁGUA BOA</t>
  </si>
  <si>
    <t>https://maps.app.goo.gl/fWBGywBc7ew56GDf6</t>
  </si>
  <si>
    <t>BR72113-A</t>
  </si>
  <si>
    <t>UBERLÂNDIA</t>
  </si>
  <si>
    <t>https://maps.app.goo.gl/1tFooPuf357rJP9D8</t>
  </si>
  <si>
    <t>BR80008-A</t>
  </si>
  <si>
    <t>ONDA VERDE</t>
  </si>
  <si>
    <t>SP</t>
  </si>
  <si>
    <t>https://maps.app.goo.gl/a3MkFUiYZv8tBiR68</t>
  </si>
  <si>
    <t>SPVTR004</t>
  </si>
  <si>
    <t>HLB</t>
  </si>
  <si>
    <t>VOTORANTIM</t>
  </si>
  <si>
    <t>https://maps.app.goo.gl/Th38PhYKAncLipZ27</t>
  </si>
  <si>
    <t>BR88343-R</t>
  </si>
  <si>
    <t>https://maps.app.goo.gl/P8HNKAFEt5Vyn9ov6</t>
  </si>
  <si>
    <t>SCP-ALY-001</t>
  </si>
  <si>
    <t>AGROLÂNDIA</t>
  </si>
  <si>
    <t>https://maps.app.goo.gl/NaUq9UiMxWyawAK88</t>
  </si>
  <si>
    <t>BR56770-A</t>
  </si>
  <si>
    <t>MARIPÁ</t>
  </si>
  <si>
    <t>PR</t>
  </si>
  <si>
    <t>https://maps.app.goo.gl/MZEmbX8dZ75Y1n2FA</t>
  </si>
  <si>
    <t>HENRIQUE</t>
  </si>
  <si>
    <t>BR67246-A</t>
  </si>
  <si>
    <t>SANTO ANTONIO DE JESUS</t>
  </si>
  <si>
    <t>BA</t>
  </si>
  <si>
    <t>https://maps.app.goo.gl/oNpjFDZUnzw5kCBu5</t>
  </si>
  <si>
    <t>BR67084-R</t>
  </si>
  <si>
    <t>BRASILIA</t>
  </si>
  <si>
    <t>DF</t>
  </si>
  <si>
    <t>https://maps.app.goo.gl/VUg623hsokWvzGNL7</t>
  </si>
  <si>
    <t>BR66924-R</t>
  </si>
  <si>
    <t>https://maps.app.goo.gl/N5Xkt4MkHP63V4dR9</t>
  </si>
  <si>
    <t>BR67024-R</t>
  </si>
  <si>
    <t>https://maps.app.goo.gl/8QBsETzKzhLbBjuU9</t>
  </si>
  <si>
    <t>BR66989-R</t>
  </si>
  <si>
    <t>https://maps.app.goo.gl/n686QmNcfcBo1fvn9</t>
  </si>
  <si>
    <t>BR62939-A</t>
  </si>
  <si>
    <t>MANDAGUARI</t>
  </si>
  <si>
    <t>https://maps.app.goo.gl/8uUT7xPyXoD7n6R97</t>
  </si>
  <si>
    <t>BR67038-R</t>
  </si>
  <si>
    <t>https://maps.app.goo.gl/sViMeVAQPNYsMdCb6</t>
  </si>
  <si>
    <t>RSA CONGONHAS</t>
  </si>
  <si>
    <t>RSA</t>
  </si>
  <si>
    <t>SÃO PAULO</t>
  </si>
  <si>
    <t>https://maps.app.goo.gl/gvxVcXzWbNzANoi7A</t>
  </si>
  <si>
    <t>PABLM017</t>
  </si>
  <si>
    <t>WINITY</t>
  </si>
  <si>
    <t>BELÉM</t>
  </si>
  <si>
    <t>PA</t>
  </si>
  <si>
    <t>https://maps.app.goo.gl/Bepn5D7ufzR15vem9</t>
  </si>
  <si>
    <t>SPO094NP</t>
  </si>
  <si>
    <t>ATC</t>
  </si>
  <si>
    <t>OSASCO</t>
  </si>
  <si>
    <t>https://maps.app.goo.gl/WvGETYRYMzUG6boy7</t>
  </si>
  <si>
    <t>MTBRX001</t>
  </si>
  <si>
    <t>BARRA DO BUGRES</t>
  </si>
  <si>
    <t>MT</t>
  </si>
  <si>
    <t>https://maps.app.goo.gl/wJjfjRyTwZ1F2UfW8</t>
  </si>
  <si>
    <t>BR67360-A</t>
  </si>
  <si>
    <t>JACOBINA</t>
  </si>
  <si>
    <t>https://maps.app.goo.gl/T1N7nRJkEsbzh7ZR8</t>
  </si>
  <si>
    <t>TABOCA</t>
  </si>
  <si>
    <t>PRESIDENTE FIGUEIREDO</t>
  </si>
  <si>
    <t>AM</t>
  </si>
  <si>
    <t>https://maps.app.goo.gl/R79HG9WpuJaawnCV8</t>
  </si>
  <si>
    <t>ELIAS</t>
  </si>
  <si>
    <t>BR67041-A</t>
  </si>
  <si>
    <t>https://maps.app.goo.gl/weuBtUozD4HYXUj97</t>
  </si>
  <si>
    <t>PABXX004</t>
  </si>
  <si>
    <t>BAIAO</t>
  </si>
  <si>
    <t>https://maps.app.goo.gl/KJjNZ6fD7giBqKgNA</t>
  </si>
  <si>
    <t>ROGVR003</t>
  </si>
  <si>
    <t>GOVERNADOR JORGE TEIXEIRA</t>
  </si>
  <si>
    <t>https://maps.app.goo.gl/G5rypL41VaPKyhY96</t>
  </si>
  <si>
    <t>BSA039T1</t>
  </si>
  <si>
    <t>https://maps.app.goo.gl/i999QxrEM8jV9vnk6</t>
  </si>
  <si>
    <t>DIOGO</t>
  </si>
  <si>
    <t>BR88222-A</t>
  </si>
  <si>
    <t>MANAUS</t>
  </si>
  <si>
    <t>https://maps.app.goo.gl/N1wQuUwkLKh5rKzy5</t>
  </si>
  <si>
    <t>TNSIMMU0001</t>
  </si>
  <si>
    <t>TBSA</t>
  </si>
  <si>
    <t>MOMBUCA</t>
  </si>
  <si>
    <t>https://maps.app.goo.gl/XbAM1sR9FwVJQKhz9</t>
  </si>
  <si>
    <t>BR75987-A</t>
  </si>
  <si>
    <t>LOUVEIRA</t>
  </si>
  <si>
    <t>https://maps.app.goo.gl/YAEePw8DBaigcEbi7</t>
  </si>
  <si>
    <t>BR67096-R</t>
  </si>
  <si>
    <t>https://maps.app.goo.gl/GQsw2YcvcTF9vCbU9</t>
  </si>
  <si>
    <t>BR66977-R</t>
  </si>
  <si>
    <t xml:space="preserve"> BRASILIA</t>
  </si>
  <si>
    <t>https://maps.app.goo.gl/Kn7DSsa6VLknYCGs5</t>
  </si>
  <si>
    <t>DFBSBBV010-K2</t>
  </si>
  <si>
    <t>https://maps.app.goo.gl/bVHR4YzBtG4xjtc59</t>
  </si>
  <si>
    <t>BR73340-R</t>
  </si>
  <si>
    <t>JUIZ DE FORA</t>
  </si>
  <si>
    <t>BR72119-A</t>
  </si>
  <si>
    <t>ITUIUTUBA</t>
  </si>
  <si>
    <t>https://maps.app.goo.gl/Sin5JLSmbvkHjBk27</t>
  </si>
  <si>
    <t>BR63311-A</t>
  </si>
  <si>
    <t>VIAMÃO</t>
  </si>
  <si>
    <t>https://maps.app.goo.gl/HJwM6jyWjd5wY7ZK8</t>
  </si>
  <si>
    <t>BR87661-R</t>
  </si>
  <si>
    <t>https://maps.app.goo.gl/S1HY4DQj146ChMiu6</t>
  </si>
  <si>
    <t>BR56365-A</t>
  </si>
  <si>
    <t>URBERLÂNDIA</t>
  </si>
  <si>
    <t>https://maps.app.goo.gl/uVXDjniecgMFdrLf7</t>
  </si>
  <si>
    <t>BR88708-A</t>
  </si>
  <si>
    <t>https://maps.app.goo.gl/TbEen9M4dimW85mT9</t>
  </si>
  <si>
    <t>BSA045B1</t>
  </si>
  <si>
    <t>https://maps.app.goo.gl/GBUYUza8gKxz8Bx79</t>
  </si>
  <si>
    <t>BR63121-A</t>
  </si>
  <si>
    <t>CAAPIRANGA</t>
  </si>
  <si>
    <t>https://maps.app.goo.gl/LXQceEw8mfhTQUKn9</t>
  </si>
  <si>
    <t>MONTES CLAROS</t>
  </si>
  <si>
    <t>https://maps.app.goo.gl/5oZ66QsoUhn4549a8</t>
  </si>
  <si>
    <t>TORRE RECORD</t>
  </si>
  <si>
    <t>RECORD</t>
  </si>
  <si>
    <t>CAMPO GRANDE</t>
  </si>
  <si>
    <t>MS</t>
  </si>
  <si>
    <t>https://maps.app.goo.gl/tNwDZEiEZkeZ1tw97</t>
  </si>
  <si>
    <t>MABCY001</t>
  </si>
  <si>
    <t>BACURITUBA</t>
  </si>
  <si>
    <t>MA</t>
  </si>
  <si>
    <t>https://maps.app.goo.gl/LSnUkKvUxFXntyix6</t>
  </si>
  <si>
    <t>PARMX006</t>
  </si>
  <si>
    <t>SANTAREM</t>
  </si>
  <si>
    <t>https://maps.app.goo.gl/s2G195KrffKjBL5D8</t>
  </si>
  <si>
    <t>MAVNX001</t>
  </si>
  <si>
    <t>VIANA</t>
  </si>
  <si>
    <t>https://maps.app.goo.gl/b436xVT5jq5BGn767</t>
  </si>
  <si>
    <t>TNSMOSA002</t>
  </si>
  <si>
    <t>https://maps.app.goo.gl/WaGrFBd7bzCFcKf59</t>
  </si>
  <si>
    <t>CUIABÁ</t>
  </si>
  <si>
    <t>https://maps.app.goo.gl/2A2y88uHnsUmC5j8A</t>
  </si>
  <si>
    <t>BR88606-A</t>
  </si>
  <si>
    <t>https://maps.app.goo.gl/rdzBb461qeisgEP99</t>
  </si>
  <si>
    <t>BR87717-A</t>
  </si>
  <si>
    <t>SÃO LUIS DE MONTES BELOS</t>
  </si>
  <si>
    <t>https://maps.app.goo.gl/fvgLg9mCbFezteco6</t>
  </si>
  <si>
    <t>BR54982-A</t>
  </si>
  <si>
    <t>SERRANO</t>
  </si>
  <si>
    <t>https://maps.app.goo.gl/MuvKaqKAWuaPWHwM9</t>
  </si>
  <si>
    <t>BR80534-A</t>
  </si>
  <si>
    <t>SALINOPOLIS</t>
  </si>
  <si>
    <t>https://maps.app.goo.gl/BWYmz2vR4KdRyDWcA</t>
  </si>
  <si>
    <t>BR87627-A</t>
  </si>
  <si>
    <t>APARECIDA DE GOIÂNIA</t>
  </si>
  <si>
    <t>https://maps.app.goo.gl/PLBmjq1gyofNCB3K6</t>
  </si>
  <si>
    <t>SM7 TANKS BR</t>
  </si>
  <si>
    <t>SM7</t>
  </si>
  <si>
    <t>https://maps.app.goo.gl/s79H3VuwHxJV3wdH8</t>
  </si>
  <si>
    <t>RSP-SLE-007</t>
  </si>
  <si>
    <t>SÃO LEOPOLDO</t>
  </si>
  <si>
    <t>https://maps.app.goo.gl/TCnhsWRGk3EG5AC88</t>
  </si>
  <si>
    <t>SP4-BRU-001</t>
  </si>
  <si>
    <t>BAURU</t>
  </si>
  <si>
    <t>https://maps.app.goo.gl/VQcpgukyfpgabmVW7</t>
  </si>
  <si>
    <t>SPP-NOA-011</t>
  </si>
  <si>
    <t>NOVA ODESSA</t>
  </si>
  <si>
    <t>https://maps.app.goo.gl/iorvEXW9Cyo81yJUA</t>
  </si>
  <si>
    <t>MAJNP001</t>
  </si>
  <si>
    <t>JENIPAPO DOS VIEIRAS</t>
  </si>
  <si>
    <t>https://maps.app.goo.gl/ty9NBSW9B2sigVuAA</t>
  </si>
  <si>
    <t>MABMX002</t>
  </si>
  <si>
    <t>BOM JESUS DA SELVA</t>
  </si>
  <si>
    <t>https://maps.app.goo.gl/bDcNTBEr5Xe5AdQy5</t>
  </si>
  <si>
    <t>BR72493-A</t>
  </si>
  <si>
    <t>ARAÇATUBA</t>
  </si>
  <si>
    <t>https://maps.app.goo.gl/SqXXYWnpCJmNH51Z8</t>
  </si>
  <si>
    <t>MACDX002</t>
  </si>
  <si>
    <t>CODÓ</t>
  </si>
  <si>
    <t>https://maps.app.goo.gl/q98g7tnRJuhjS8Ts6</t>
  </si>
  <si>
    <t>GONVG001</t>
  </si>
  <si>
    <t>NOVO GAMA</t>
  </si>
  <si>
    <t>https://maps.app.goo.gl/yiXwt45KJveJFabi9</t>
  </si>
  <si>
    <t>BR88239-A</t>
  </si>
  <si>
    <t>SÃO LUIS</t>
  </si>
  <si>
    <t>https://maps.app.goo.gl/nTPTUtMwisLnkS5AA</t>
  </si>
  <si>
    <t>LAGOA DA CONFUSÃO</t>
  </si>
  <si>
    <t>TO</t>
  </si>
  <si>
    <t>https://maps.app.goo.gl/ceWk4HEAnhAWYT2V7</t>
  </si>
  <si>
    <t>ANADIA</t>
  </si>
  <si>
    <t>AL</t>
  </si>
  <si>
    <t>https://maps.app.goo.gl/5qQGn2GhMXHUvan37</t>
  </si>
  <si>
    <t>CONDOMINIO GENOVA</t>
  </si>
  <si>
    <t xml:space="preserve"> GENOVA</t>
  </si>
  <si>
    <t>https://maps.app.goo.gl/XYoUxAxVbAvQ13Rt9</t>
  </si>
  <si>
    <t>DFBRS174</t>
  </si>
  <si>
    <t>https://maps.app.goo.gl/BzDRnLZ8NEL9Tz6o8</t>
  </si>
  <si>
    <t>MSPRT002</t>
  </si>
  <si>
    <t>PORTO MURTINHO</t>
  </si>
  <si>
    <t>https://maps.app.goo.gl/3q7zmUF366FEVdmq8</t>
  </si>
  <si>
    <t>PAVGX002</t>
  </si>
  <si>
    <t>VIGIA</t>
  </si>
  <si>
    <t>https://maps.app.goo.gl/BogBqZ2i1MjVR37g7</t>
  </si>
  <si>
    <t>MTCST002</t>
  </si>
  <si>
    <t>CASTANHEIRA</t>
  </si>
  <si>
    <t>https://maps.app.goo.gl/8et7BvHnuTg9TZ9q7</t>
  </si>
  <si>
    <t>BR77226-A</t>
  </si>
  <si>
    <t>https://maps.app.goo.gl/PiSDc62WdKBprhCd6</t>
  </si>
  <si>
    <t>BR65897-A</t>
  </si>
  <si>
    <t>VISTA ALEGRE</t>
  </si>
  <si>
    <t>https://maps.app.goo.gl/pbfXPaW1m1mJiUYV6</t>
  </si>
  <si>
    <t>BR73373-R</t>
  </si>
  <si>
    <t>CAMPINAS</t>
  </si>
  <si>
    <t>https://maps.app.goo.gl/C6xeHqqi5QAHUqMh9</t>
  </si>
  <si>
    <t>BR50560-A</t>
  </si>
  <si>
    <t>FATIMA DO SUL</t>
  </si>
  <si>
    <t>https://maps.app.goo.gl/LeLHiaCFDCHj1hyR9</t>
  </si>
  <si>
    <t>SSS6</t>
  </si>
  <si>
    <t>TRANSPETRO</t>
  </si>
  <si>
    <t>SAO SEBASTIÃO</t>
  </si>
  <si>
    <t>https://maps.app.goo.gl/skXcFZfpsuNDrEDg9</t>
  </si>
  <si>
    <t>ALAN</t>
  </si>
  <si>
    <t>SS25</t>
  </si>
  <si>
    <t>https://maps.app.goo.gl/skXcFZfpsuNDrEDg10</t>
  </si>
  <si>
    <t>SS26</t>
  </si>
  <si>
    <t>https://maps.app.goo.gl/skXcFZfpsuNDrEDg11</t>
  </si>
  <si>
    <t>ST26</t>
  </si>
  <si>
    <t>SANTOS</t>
  </si>
  <si>
    <t>https://maps.app.goo.gl/q5ZDKuK8me88bxCP8</t>
  </si>
  <si>
    <t>GTB40</t>
  </si>
  <si>
    <t>GUARATUBA</t>
  </si>
  <si>
    <t>https://maps.app.goo.gl/rPjaibvp1eNUBsj9A</t>
  </si>
  <si>
    <t>GTB64</t>
  </si>
  <si>
    <t>https://maps.app.goo.gl/6XSB4fW184dzH5vx9</t>
  </si>
  <si>
    <t>CPE003TM</t>
  </si>
  <si>
    <t>MAURICIO</t>
  </si>
  <si>
    <t>CBA013TM</t>
  </si>
  <si>
    <t>https://maps.app.goo.gl/vTW4AG4iCWDnq6Q46</t>
  </si>
  <si>
    <t>MZE001TM</t>
  </si>
  <si>
    <t>MARATAÍZES</t>
  </si>
  <si>
    <t>ES</t>
  </si>
  <si>
    <t>https://maps.app.goo.gl/ZUd4D9m16p8Q8mYC9</t>
  </si>
  <si>
    <t>SMT002VV</t>
  </si>
  <si>
    <t>SÃO MATEUS</t>
  </si>
  <si>
    <t>https://maps.app.goo.gl/E6LGEWiaZjQdRWB16</t>
  </si>
  <si>
    <t>RJO242B1</t>
  </si>
  <si>
    <t xml:space="preserve">RIO DE JANEIRO </t>
  </si>
  <si>
    <t>RJ</t>
  </si>
  <si>
    <t>https://maps.app.goo.gl/Dz9ty2nk4qyTtuXL6</t>
  </si>
  <si>
    <t>CND001B1</t>
  </si>
  <si>
    <t>CARANDAÍ</t>
  </si>
  <si>
    <t>https://maps.app.goo.gl/nb5xXfmqkHqRJ9x99</t>
  </si>
  <si>
    <t>RJO058NP</t>
  </si>
  <si>
    <t>RIO DE JANEIRO</t>
  </si>
  <si>
    <t>https://maps.app.goo.gl/paxKVQ3uTVjUuZXT9</t>
  </si>
  <si>
    <t>BR80471-A</t>
  </si>
  <si>
    <t>https://maps.app.goo.gl/fPDjWpcieomXrtqV7</t>
  </si>
  <si>
    <t>BR88454-A</t>
  </si>
  <si>
    <t>PALMAS</t>
  </si>
  <si>
    <t>https://maps.app.goo.gl/Q1cVifwYda8A19Cw8</t>
  </si>
  <si>
    <t xml:space="preserve">BSA030TM </t>
  </si>
  <si>
    <t>https://maps.app.goo.gl/aNkMjJxTvSM98HRW8</t>
  </si>
  <si>
    <t>PPO001TM</t>
  </si>
  <si>
    <t>PASSOS</t>
  </si>
  <si>
    <t>https://maps.app.goo.gl/QFL6EzGr6PcDXbFx8</t>
  </si>
  <si>
    <t>SBB002VV</t>
  </si>
  <si>
    <t xml:space="preserve">SANTA BÁRBARA </t>
  </si>
  <si>
    <t>https://maps.app.goo.gl/YNNEgmN8eAfRSHV77</t>
  </si>
  <si>
    <t>GNA064TM</t>
  </si>
  <si>
    <t>https://maps.app.goo.gl/Cxy5WuL4hxQrf8Qj7</t>
  </si>
  <si>
    <t>MSCMX003</t>
  </si>
  <si>
    <t>CAMAPUÃ</t>
  </si>
  <si>
    <t>https://maps.app.goo.gl/WgFEVFoLc8BrDTgZA</t>
  </si>
  <si>
    <t>SQR002VV</t>
  </si>
  <si>
    <t>SAQUAREMA</t>
  </si>
  <si>
    <t>https://maps.app.goo.gl/ZDsuUpGQdxx87K1j6</t>
  </si>
  <si>
    <t>BSA067TM</t>
  </si>
  <si>
    <t>https://maps.app.goo.gl/TsyuDNZuxTrGCY637</t>
  </si>
  <si>
    <t>CFR001VV</t>
  </si>
  <si>
    <t>CABO FRIO</t>
  </si>
  <si>
    <t>https://maps.app.goo.gl/pb5T8W7y5oLpvynD6</t>
  </si>
  <si>
    <t>CBF003B1</t>
  </si>
  <si>
    <t xml:space="preserve">CABO FRIO </t>
  </si>
  <si>
    <t>https://maps.app.goo.gl/9ycX6BAwSopjENXA8</t>
  </si>
  <si>
    <t>CBF004B1</t>
  </si>
  <si>
    <t>https://maps.app.goo.gl/vcfrt9gKLf1AbHY87</t>
  </si>
  <si>
    <t>VVL004NX</t>
  </si>
  <si>
    <t>VILA VELHA</t>
  </si>
  <si>
    <t>https://maps.app.goo.gl/v9UgZk4G1VHo75Pu8</t>
  </si>
  <si>
    <t>MZF001B2</t>
  </si>
  <si>
    <t>MUNIZ DE FREIRE</t>
  </si>
  <si>
    <t>https://maps.app.goo.gl/qsQaptv1wGNZRp687</t>
  </si>
  <si>
    <t>CRC004VV</t>
  </si>
  <si>
    <t>CARIACICA</t>
  </si>
  <si>
    <t>https://maps.app.goo.gl/Z9GNmgnqWeg3fJbcA</t>
  </si>
  <si>
    <t>ACZ003T1</t>
  </si>
  <si>
    <t>ARACRUZ</t>
  </si>
  <si>
    <t>https://maps.app.goo.gl/Lq5ZYM9byE52fhZGA</t>
  </si>
  <si>
    <t>CBF013T2</t>
  </si>
  <si>
    <t>https://maps.app.goo.gl/x1ypXbqe8iuyDWMg6</t>
  </si>
  <si>
    <t>ETA001B3</t>
  </si>
  <si>
    <t>ITUETA</t>
  </si>
  <si>
    <t>https://maps.app.goo.gl/5te1bUJri7MBDYNw6</t>
  </si>
  <si>
    <t>FUD001TM</t>
  </si>
  <si>
    <t>FUNDÃO</t>
  </si>
  <si>
    <t>https://maps.app.goo.gl/iAWYqPj3GvkPwJiY8</t>
  </si>
  <si>
    <t>CVL003VV</t>
  </si>
  <si>
    <t>CURVELO</t>
  </si>
  <si>
    <t>https://maps.app.goo.gl/ZDBPEhcqDvvbH4qP7</t>
  </si>
  <si>
    <t>22080028-2</t>
  </si>
  <si>
    <t>SÃO FRANCISCO DE ITABAPOANA</t>
  </si>
  <si>
    <t>https://maps.app.goo.gl/HUHXqFR3XdHpM1jG9</t>
  </si>
  <si>
    <t>NEO JMA</t>
  </si>
  <si>
    <t>NEOENERGIA</t>
  </si>
  <si>
    <t>RIBEIRÃO</t>
  </si>
  <si>
    <t>PE</t>
  </si>
  <si>
    <t>https://maps.app.goo.gl/c3nmacL3eJ36qKWX9</t>
  </si>
  <si>
    <t>NEO SUP</t>
  </si>
  <si>
    <t>CABO DE SANTO AGOSTINHO</t>
  </si>
  <si>
    <t>https://maps.app.goo.gl/nr2kk8P5wJ43iKH87</t>
  </si>
  <si>
    <t>NEO GUT</t>
  </si>
  <si>
    <t>GUARATINGA</t>
  </si>
  <si>
    <t>https://maps.app.goo.gl/NcL4H7T97LpCRgtRA</t>
  </si>
  <si>
    <t>NEO REP ZBL</t>
  </si>
  <si>
    <t>CORAÇÃO DE MARIA</t>
  </si>
  <si>
    <t>https://maps.app.goo.gl/ivPbjkanNtXwF6ad9</t>
  </si>
  <si>
    <t>NEO SED</t>
  </si>
  <si>
    <t>SANTO ESTEVÃO</t>
  </si>
  <si>
    <t>https://maps.app.goo.gl/4k3BNvVq8GPdWTfv5</t>
  </si>
  <si>
    <t>NEO BRN</t>
  </si>
  <si>
    <t>BARREIRAS</t>
  </si>
  <si>
    <t>https://maps.app.goo.gl/BzzXa9GTLdp32Ugh8</t>
  </si>
  <si>
    <t>NEO IRC</t>
  </si>
  <si>
    <t>MIGUEL CAMON</t>
  </si>
  <si>
    <t>https://maps.app.goo.gl/bx26vkdGg7bU8EFD9</t>
  </si>
  <si>
    <t>NEO ANC</t>
  </si>
  <si>
    <t>ANGICAL</t>
  </si>
  <si>
    <t>https://maps.app.goo.gl/Zm91HsdyFT5f5V3s5</t>
  </si>
  <si>
    <t>NEO BRB</t>
  </si>
  <si>
    <t>ITAPARICA</t>
  </si>
  <si>
    <t>https://maps.app.goo.gl/guy4hGiFmBETnWUQ9</t>
  </si>
  <si>
    <t>MAPLN001</t>
  </si>
  <si>
    <t>PAULINHO NEVES</t>
  </si>
  <si>
    <t>https://maps.app.goo.gl/o4fxhd8ivBszjV7P9</t>
  </si>
  <si>
    <t>SPNDT007</t>
  </si>
  <si>
    <t>INDAIATUBA</t>
  </si>
  <si>
    <t>https://maps.app.goo.gl/ijbNQA37KiTB22228</t>
  </si>
  <si>
    <t>BR66801-A</t>
  </si>
  <si>
    <t>MACAÉ</t>
  </si>
  <si>
    <t>https://maps.app.goo.gl/vjZG9MgpsTMJVSvq8</t>
  </si>
  <si>
    <t>BR49629-A</t>
  </si>
  <si>
    <t>BERTIOGA</t>
  </si>
  <si>
    <t>https://maps.app.goo.gl/e8XhgqR2tJcNbtGL8</t>
  </si>
  <si>
    <t>BR51120-A</t>
  </si>
  <si>
    <t>ITANHAÉM</t>
  </si>
  <si>
    <t>https://maps.app.goo.gl/rscrAFiPXU4f3kmD9</t>
  </si>
  <si>
    <t>MSNVN002</t>
  </si>
  <si>
    <t>NOVA ANDRADINA</t>
  </si>
  <si>
    <t>https://maps.app.goo.gl/y91XuH55yPYwvmAw9</t>
  </si>
  <si>
    <t>SP4-CDA-001</t>
  </si>
  <si>
    <t>CATANDUVA</t>
  </si>
  <si>
    <t>https://maps.app.goo.gl/4TvE41PdJAX1vPoFA</t>
  </si>
  <si>
    <t>DVE001VV</t>
  </si>
  <si>
    <t>DIVINESIA</t>
  </si>
  <si>
    <t>https://maps.app.goo.gl/VokggY1T4pBEDC1fA</t>
  </si>
  <si>
    <t>BR-MG-BHE-01565</t>
  </si>
  <si>
    <t>QMC</t>
  </si>
  <si>
    <t>BELO HORIZONTE</t>
  </si>
  <si>
    <t>https://maps.app.goo.gl/r8AHFEoD8WkpjFcf9</t>
  </si>
  <si>
    <t>BR-PR-LDB-00383</t>
  </si>
  <si>
    <t>LONDRINA</t>
  </si>
  <si>
    <t>https://maps.app.goo.gl/HFovyHWufKmwEPhS7</t>
  </si>
  <si>
    <t>BR-RJ-NIG-01608</t>
  </si>
  <si>
    <t>NOVA IGUAÇU</t>
  </si>
  <si>
    <t>https://maps.app.goo.gl/q5P5ZKvDoPXqxSJW9</t>
  </si>
  <si>
    <t>BR-SC-SQX-01654</t>
  </si>
  <si>
    <t>SÃO MIGUEL DO OESTE</t>
  </si>
  <si>
    <t>https://maps.app.goo.gl/fBQrT9S3bA8zB2eRA</t>
  </si>
  <si>
    <t>BR-SP-SPO-01848</t>
  </si>
  <si>
    <t>https://maps.app.goo.gl/npWnZoZopih99hbX7</t>
  </si>
  <si>
    <t>BR-SP-TBS-00289</t>
  </si>
  <si>
    <t>TABOÂO DA SERRA</t>
  </si>
  <si>
    <t>https://maps.app.goo.gl/RsuthpiWgLBTUogM6</t>
  </si>
  <si>
    <t>BR-MG-COG-01032</t>
  </si>
  <si>
    <t>CONTAGEM</t>
  </si>
  <si>
    <t>https://maps.app.goo.gl/XDA6UGmYcU343Qkj6</t>
  </si>
  <si>
    <t>RJO221B1</t>
  </si>
  <si>
    <t>https://maps.app.goo.gl/ibnvYNKzMmz9czhu9</t>
  </si>
  <si>
    <t>CUB010VV</t>
  </si>
  <si>
    <t>https://maps.app.goo.gl/x5UuxwokiE5T9WiF8</t>
  </si>
  <si>
    <t>https://maps.app.goo.gl/3gc9w3hEnFXqD5bL8</t>
  </si>
  <si>
    <t>PRMGL001</t>
  </si>
  <si>
    <t>SÃO MIGUEL DO IGUAÇU</t>
  </si>
  <si>
    <t>https://maps.app.goo.gl/MWc2BT2qkhFx9HeCA</t>
  </si>
  <si>
    <t>MMS002T1</t>
  </si>
  <si>
    <t xml:space="preserve">MIMOSO </t>
  </si>
  <si>
    <t>https://maps.app.goo.gl/uvof1bnwmBQ7UHtf8</t>
  </si>
  <si>
    <t>https://maps.app.goo.gl/JvgFFfP11CD6h1yB9</t>
  </si>
  <si>
    <t>BAPXD4536</t>
  </si>
  <si>
    <t>PEDRO ALEXANDRE</t>
  </si>
  <si>
    <t>https://maps.app.goo.gl/bDw3NrGp12dDrPb6A</t>
  </si>
  <si>
    <t>VGA001VV</t>
  </si>
  <si>
    <t>VARGINHA</t>
  </si>
  <si>
    <t>https://maps.app.goo.gl/caMykh6qZbbThaW36</t>
  </si>
  <si>
    <t>JZF002VV</t>
  </si>
  <si>
    <t>https://maps.app.goo.gl/49h1noC3GdiDwEjD9</t>
  </si>
  <si>
    <t>TURVO</t>
  </si>
  <si>
    <t>IBEMA</t>
  </si>
  <si>
    <t>https://maps.app.goo.gl/zJSMMSdxJm6Y9WT59</t>
  </si>
  <si>
    <t>UMB001TM</t>
  </si>
  <si>
    <t>UMBAÚBA</t>
  </si>
  <si>
    <t>SE</t>
  </si>
  <si>
    <t>https://maps.app.goo.gl/yymiNGcxpWdiJ4w7A</t>
  </si>
  <si>
    <t>ABZ002AT</t>
  </si>
  <si>
    <t>https://maps.app.goo.gl/ARuSqgsmuvRSpQP77</t>
  </si>
  <si>
    <t>CGY005TM</t>
  </si>
  <si>
    <t>CAMPOS DOS GOYTACAZES</t>
  </si>
  <si>
    <t>https://maps.app.goo.gl/NZPVe6SWsyuxYXiz7</t>
  </si>
  <si>
    <t>BR49615-A</t>
  </si>
  <si>
    <t>CONCÓRDIA</t>
  </si>
  <si>
    <t>https://maps.app.goo.gl/kNs5VTEqaHwSDbeH8</t>
  </si>
  <si>
    <t>BAPRT002</t>
  </si>
  <si>
    <t xml:space="preserve">PORTO SEGURO </t>
  </si>
  <si>
    <t>https://maps.app.goo.gl/1U7Lpr6Gi6Q9F1E26</t>
  </si>
  <si>
    <t>GOGNAN2</t>
  </si>
  <si>
    <t>GLOBAL</t>
  </si>
  <si>
    <t>https://maps.app.goo.gl/MVRSMTgrZE34oNzz5</t>
  </si>
  <si>
    <t>GOGNAN1</t>
  </si>
  <si>
    <t>https://maps.app.goo.gl/GNd1vwATVpk2kbzy7</t>
  </si>
  <si>
    <t>GOGNAM9</t>
  </si>
  <si>
    <t>https://maps.app.goo.gl/p4FhgC9fLtKroJ6z6</t>
  </si>
  <si>
    <t>GOGNAK8</t>
  </si>
  <si>
    <t>https://maps.app.goo.gl/zeyzFykff6fUKiTL7</t>
  </si>
  <si>
    <t>BR54537-B</t>
  </si>
  <si>
    <t>RIO DAS OSTRAS</t>
  </si>
  <si>
    <t>https://maps.app.goo.gl/hocWfzeXp8mxgmYM6</t>
  </si>
  <si>
    <t>CEEUS001NX</t>
  </si>
  <si>
    <t>NEXUS</t>
  </si>
  <si>
    <t>EUSÉBIO</t>
  </si>
  <si>
    <t>https://maps.app.goo.gl/kDZ5KJ8SsmcfcKNp9</t>
  </si>
  <si>
    <t xml:space="preserve">BACURITIBA </t>
  </si>
  <si>
    <t>RPE002T1</t>
  </si>
  <si>
    <t>RIO PRETO DA EVA</t>
  </si>
  <si>
    <t xml:space="preserve">AM </t>
  </si>
  <si>
    <t>https://maps.app.goo.gl/vfbSXRPsCS1RL9oN7</t>
  </si>
  <si>
    <t>AFL001T1</t>
  </si>
  <si>
    <t>ALTA FLORESTA</t>
  </si>
  <si>
    <t>https://maps.app.goo.gl/4ghwZBYcaER8YkoG9</t>
  </si>
  <si>
    <t>EQUIPE 1</t>
  </si>
  <si>
    <t>VALOR</t>
  </si>
  <si>
    <t>EQUIPE 2</t>
  </si>
  <si>
    <t>VALOR2</t>
  </si>
  <si>
    <t xml:space="preserve">EQUIPE 3 </t>
  </si>
  <si>
    <t>VALOR3</t>
  </si>
  <si>
    <t>VALOR4</t>
  </si>
  <si>
    <t>IVERALDO</t>
  </si>
  <si>
    <t>DANIEL NEVES</t>
  </si>
  <si>
    <t>CHARLES</t>
  </si>
  <si>
    <t>GENIAL TELECOM</t>
  </si>
  <si>
    <t>LUCAS</t>
  </si>
  <si>
    <t>CLT</t>
  </si>
  <si>
    <t>WALACE</t>
  </si>
  <si>
    <t>ALONSO</t>
  </si>
  <si>
    <t>EVERALDO</t>
  </si>
  <si>
    <t>GLEYSSON</t>
  </si>
  <si>
    <t>FLAVIO DELFINO</t>
  </si>
  <si>
    <t>MARCUS SP</t>
  </si>
  <si>
    <t>CONSTRUTORA JLC</t>
  </si>
  <si>
    <t>AFFONSO</t>
  </si>
  <si>
    <t>JORGE RICARDO</t>
  </si>
  <si>
    <t>DANIEL ADS</t>
  </si>
  <si>
    <t xml:space="preserve"> R$ -   </t>
  </si>
  <si>
    <t>ZACARIAS</t>
  </si>
  <si>
    <t>EDILEY</t>
  </si>
  <si>
    <t>MAURO</t>
  </si>
  <si>
    <t>LUCIO</t>
  </si>
  <si>
    <t>MATOS</t>
  </si>
  <si>
    <t>ADMIL</t>
  </si>
  <si>
    <t xml:space="preserve">FRANCISCO </t>
  </si>
  <si>
    <t>GILBERTO</t>
  </si>
  <si>
    <t>EDSON</t>
  </si>
  <si>
    <t>GUIILHERME</t>
  </si>
  <si>
    <t>NEWTON</t>
  </si>
  <si>
    <t>TATILA</t>
  </si>
  <si>
    <t>GUILHERME</t>
  </si>
  <si>
    <t>OTAVIO</t>
  </si>
  <si>
    <t>MAGNO ARAUJO</t>
  </si>
  <si>
    <t>SAULO</t>
  </si>
  <si>
    <t>ALDECI</t>
  </si>
  <si>
    <t>FARLEY</t>
  </si>
  <si>
    <t>THIAGO</t>
  </si>
  <si>
    <t>BRUNO</t>
  </si>
  <si>
    <t>KLEBER</t>
  </si>
  <si>
    <t>SILVIO</t>
  </si>
  <si>
    <t xml:space="preserve">ALOISIO </t>
  </si>
  <si>
    <t>EDILSON</t>
  </si>
  <si>
    <t xml:space="preserve">TATILA </t>
  </si>
  <si>
    <t>JOÃO / JOANDERLAN</t>
  </si>
  <si>
    <t>JOANDERLAN</t>
  </si>
  <si>
    <t>THIAGO FREITES</t>
  </si>
  <si>
    <t>LEANDRO TELES</t>
  </si>
  <si>
    <t>MARCOS SANTOS</t>
  </si>
  <si>
    <t>GERSON</t>
  </si>
  <si>
    <t>ROMULO</t>
  </si>
  <si>
    <t>LEONIDAS</t>
  </si>
  <si>
    <t xml:space="preserve">JOSE DIVINO </t>
  </si>
  <si>
    <t>ANTONIO FORTE</t>
  </si>
  <si>
    <t xml:space="preserve">EDSON </t>
  </si>
  <si>
    <t xml:space="preserve">GERSON </t>
  </si>
  <si>
    <t>MARCUS ROCHA</t>
  </si>
  <si>
    <t>LIEBERTE</t>
  </si>
  <si>
    <t xml:space="preserve">AFFONSO </t>
  </si>
  <si>
    <t>ALEXANDRE</t>
  </si>
  <si>
    <t>DANIEL GENIAL / ROMULO</t>
  </si>
  <si>
    <t>DIOGENES</t>
  </si>
  <si>
    <t xml:space="preserve">RAPHAEL </t>
  </si>
  <si>
    <t>DURAÇÃO (dias)</t>
  </si>
  <si>
    <t>INÍCIO</t>
  </si>
  <si>
    <t>FIM</t>
  </si>
  <si>
    <t>DIAS RESTANTES</t>
  </si>
  <si>
    <t>CHECKBOX</t>
  </si>
  <si>
    <t>FINALIZADO</t>
  </si>
  <si>
    <t>PARALISADO</t>
  </si>
  <si>
    <t>CANCELADO</t>
  </si>
  <si>
    <t>Abertura de obra</t>
  </si>
  <si>
    <t>Elaboração de cronograma</t>
  </si>
  <si>
    <t>Cotação Parceiro</t>
  </si>
  <si>
    <t>Mapeamento</t>
  </si>
  <si>
    <t>Projeto</t>
  </si>
  <si>
    <t>Homologação</t>
  </si>
  <si>
    <t>Solicitar acesso</t>
  </si>
  <si>
    <t>Compra de material</t>
  </si>
  <si>
    <t>Fabricação / Galvanização</t>
  </si>
  <si>
    <t>Survey</t>
  </si>
  <si>
    <t>Pintura</t>
  </si>
  <si>
    <t>Envio de material</t>
  </si>
  <si>
    <t>Execução</t>
  </si>
  <si>
    <t>Laudo de verticalidade</t>
  </si>
  <si>
    <t xml:space="preserve">Envio RFI </t>
  </si>
  <si>
    <t>Paralisada</t>
  </si>
  <si>
    <t>Cancelada</t>
  </si>
  <si>
    <t>Finalizado</t>
  </si>
  <si>
    <t>x</t>
  </si>
  <si>
    <t>TOTAL SITE</t>
  </si>
  <si>
    <t>MARGEM %</t>
  </si>
  <si>
    <t xml:space="preserve"> LUCRO (R$)</t>
  </si>
  <si>
    <t xml:space="preserve"> CUSTOS TOTAIS (R$)</t>
  </si>
  <si>
    <t>-</t>
  </si>
  <si>
    <t>GENOVA</t>
  </si>
  <si>
    <t>⏰ ATRASADO</t>
  </si>
  <si>
    <t>✅ CONCLUÍDO</t>
  </si>
  <si>
    <t>⚠️ PARALISADO</t>
  </si>
  <si>
    <t>🕓 EM ANDAMENTO</t>
  </si>
  <si>
    <t>🚫CANCELADO</t>
  </si>
  <si>
    <t>Total Geral</t>
  </si>
  <si>
    <t>LISTA STATUS GERAL</t>
  </si>
  <si>
    <t>LISTA CHECK LIST</t>
  </si>
  <si>
    <t>Não iniciada</t>
  </si>
  <si>
    <t>Em andamento</t>
  </si>
  <si>
    <t>v</t>
  </si>
  <si>
    <t>Finalizada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</si>
</sst>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11B27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5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4" fontId="1" fillId="0" borderId="0"/>
    <xf numFmtId="0" fontId="2" fillId="0" borderId="0"/>
    <xf numFmtId="0" fontId="2" fillId="0" borderId="0"/>
    <xf numFmtId="0" fontId="7" fillId="3" borderId="0" applyNumberFormat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Alignment="1">
      <alignment horizontal="center" wrapText="1"/>
    </xf>
    <xf numFmtId="0" fontId="6" fillId="2" borderId="1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44" fontId="0" fillId="0" borderId="0" xfId="0" applyNumberFormat="1" applyAlignment="1">
      <alignment horizontal="center"/>
    </xf>
    <xf numFmtId="0" fontId="9" fillId="3" borderId="0" xfId="4" applyFont="1" applyAlignment="1">
      <alignment wrapText="1"/>
    </xf>
    <xf numFmtId="0" fontId="9" fillId="4" borderId="2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44" fontId="1" fillId="0" borderId="0" xfId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44" fontId="10" fillId="5" borderId="1" xfId="1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/>
    </xf>
    <xf numFmtId="0" fontId="4" fillId="6" borderId="6" xfId="3" applyFont="1" applyFill="1" applyBorder="1" applyAlignment="1">
      <alignment horizontal="center"/>
    </xf>
    <xf numFmtId="164" fontId="0" fillId="6" borderId="6" xfId="1" applyNumberFormat="1" applyFont="1" applyFill="1" applyBorder="1" applyAlignment="1">
      <alignment horizontal="center"/>
    </xf>
    <xf numFmtId="164" fontId="0" fillId="6" borderId="6" xfId="1" applyNumberFormat="1" applyFont="1" applyFill="1" applyBorder="1"/>
    <xf numFmtId="0" fontId="0" fillId="6" borderId="6" xfId="1" applyNumberFormat="1" applyFont="1" applyFill="1" applyBorder="1" applyAlignment="1">
      <alignment horizontal="center"/>
    </xf>
    <xf numFmtId="44" fontId="0" fillId="6" borderId="6" xfId="1" applyFont="1" applyFill="1" applyBorder="1" applyAlignment="1">
      <alignment horizontal="center"/>
    </xf>
    <xf numFmtId="10" fontId="0" fillId="6" borderId="6" xfId="0" applyNumberFormat="1" applyFill="1" applyBorder="1" applyAlignment="1">
      <alignment horizontal="center"/>
    </xf>
    <xf numFmtId="0" fontId="4" fillId="6" borderId="6" xfId="2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4" fillId="6" borderId="6" xfId="2" applyFont="1" applyFill="1" applyBorder="1" applyAlignment="1">
      <alignment horizontal="center" vertical="center"/>
    </xf>
    <xf numFmtId="0" fontId="4" fillId="0" borderId="6" xfId="2" applyFont="1" applyBorder="1" applyAlignment="1">
      <alignment horizontal="center"/>
    </xf>
    <xf numFmtId="0" fontId="4" fillId="6" borderId="6" xfId="3" applyFont="1" applyFill="1" applyBorder="1" applyAlignment="1">
      <alignment horizontal="center" wrapText="1"/>
    </xf>
    <xf numFmtId="0" fontId="4" fillId="0" borderId="6" xfId="2" applyFont="1" applyBorder="1" applyAlignment="1">
      <alignment horizontal="center" vertical="center"/>
    </xf>
    <xf numFmtId="0" fontId="4" fillId="0" borderId="6" xfId="3" applyFont="1" applyBorder="1" applyAlignment="1">
      <alignment horizontal="center"/>
    </xf>
    <xf numFmtId="44" fontId="3" fillId="6" borderId="6" xfId="0" applyNumberFormat="1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/>
    </xf>
    <xf numFmtId="164" fontId="0" fillId="6" borderId="7" xfId="1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6" borderId="13" xfId="0" applyFill="1" applyBorder="1" applyAlignment="1">
      <alignment horizontal="center"/>
    </xf>
    <xf numFmtId="164" fontId="0" fillId="6" borderId="14" xfId="1" applyNumberFormat="1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164" fontId="0" fillId="6" borderId="14" xfId="1" applyNumberFormat="1" applyFont="1" applyFill="1" applyBorder="1"/>
    <xf numFmtId="0" fontId="0" fillId="6" borderId="15" xfId="0" applyFill="1" applyBorder="1" applyAlignment="1">
      <alignment horizontal="center"/>
    </xf>
    <xf numFmtId="164" fontId="0" fillId="6" borderId="16" xfId="1" applyNumberFormat="1" applyFont="1" applyFill="1" applyBorder="1" applyAlignment="1">
      <alignment horizontal="center"/>
    </xf>
    <xf numFmtId="44" fontId="1" fillId="0" borderId="0" xfId="1"/>
    <xf numFmtId="44" fontId="0" fillId="6" borderId="7" xfId="1" applyFont="1" applyFill="1" applyBorder="1" applyAlignment="1">
      <alignment horizontal="center"/>
    </xf>
    <xf numFmtId="10" fontId="0" fillId="6" borderId="7" xfId="0" applyNumberFormat="1" applyFill="1" applyBorder="1" applyAlignment="1">
      <alignment horizontal="center"/>
    </xf>
    <xf numFmtId="0" fontId="10" fillId="5" borderId="1" xfId="0" applyFont="1" applyFill="1" applyBorder="1" applyAlignment="1">
      <alignment vertical="center"/>
    </xf>
    <xf numFmtId="0" fontId="4" fillId="6" borderId="6" xfId="2" applyFont="1" applyFill="1" applyBorder="1"/>
    <xf numFmtId="0" fontId="4" fillId="0" borderId="6" xfId="2" applyFont="1" applyBorder="1"/>
    <xf numFmtId="0" fontId="4" fillId="0" borderId="6" xfId="3" applyFont="1" applyBorder="1"/>
    <xf numFmtId="0" fontId="4" fillId="0" borderId="0" xfId="2" applyFont="1"/>
    <xf numFmtId="0" fontId="4" fillId="0" borderId="0" xfId="2" applyFont="1" applyAlignment="1">
      <alignment horizontal="center"/>
    </xf>
    <xf numFmtId="0" fontId="0" fillId="0" borderId="0" xfId="0" applyNumberFormat="1" applyAlignment="1">
      <alignment horizontal="center"/>
    </xf>
  </cellXfs>
  <cellStyles count="5">
    <cellStyle name="Ênfase2" xfId="4" builtinId="33"/>
    <cellStyle name="Hiperlink" xfId="3" builtinId="8"/>
    <cellStyle name="Hyperlink" xfId="2" xr:uid="{00000000-0005-0000-0000-000002000000}"/>
    <cellStyle name="Moeda" xfId="1" builtinId="4"/>
    <cellStyle name="Normal" xfId="0" builtinId="0"/>
  </cellStyles>
  <dxfs count="11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numFmt numFmtId="0" formatCode="General"/>
      <alignment horizontal="center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19" formatCode="dd/mm/yyyy"/>
    </dxf>
    <dxf>
      <numFmt numFmtId="19" formatCode="dd/mm/yyyy"/>
    </dxf>
    <dxf>
      <alignment horizontal="center" vertical="bottom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366092"/>
          <bgColor rgb="FF366092"/>
        </patternFill>
      </fill>
      <alignment horizontal="center" vertical="center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colors>
    <mruColors>
      <color rgb="FF0205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26</xdr:row>
      <xdr:rowOff>9525</xdr:rowOff>
    </xdr:from>
    <xdr:to>
      <xdr:col>3</xdr:col>
      <xdr:colOff>139065</xdr:colOff>
      <xdr:row>39</xdr:row>
      <xdr:rowOff>17145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ID SITE 1">
              <a:extLst>
                <a:ext uri="{FF2B5EF4-FFF2-40B4-BE49-F238E27FC236}">
                  <a16:creationId xmlns:a16="http://schemas.microsoft.com/office/drawing/2014/main" id="{93C26C3F-78F5-DF10-51B0-CC2E1547C068}"/>
                </a:ext>
                <a:ext uri="{147F2762-F138-4A5C-976F-8EAC2B608ADB}">
                  <a16:predDERef xmlns:a16="http://schemas.microsoft.com/office/drawing/2014/main" pred="{11DB89F7-6085-B5D3-BD98-5A132C5150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 SI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3435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942975</xdr:colOff>
      <xdr:row>26</xdr:row>
      <xdr:rowOff>9525</xdr:rowOff>
    </xdr:from>
    <xdr:to>
      <xdr:col>6</xdr:col>
      <xdr:colOff>243840</xdr:colOff>
      <xdr:row>39</xdr:row>
      <xdr:rowOff>15240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LIENTE 1">
              <a:extLst>
                <a:ext uri="{FF2B5EF4-FFF2-40B4-BE49-F238E27FC236}">
                  <a16:creationId xmlns:a16="http://schemas.microsoft.com/office/drawing/2014/main" id="{7D5C66EA-4C52-6321-9E77-8A1E99444627}"/>
                </a:ext>
                <a:ext uri="{147F2762-F138-4A5C-976F-8EAC2B608ADB}">
                  <a16:predDERef xmlns:a16="http://schemas.microsoft.com/office/drawing/2014/main" pred="{93C26C3F-78F5-DF10-51B0-CC2E1547C0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43225" y="38004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DXFComplements" extRef="D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ontel - 0752" refreshedDate="46099.527653819445" createdVersion="8" refreshedVersion="8" minRefreshableVersion="3" recordCount="170" xr:uid="{473F54B3-CDB5-4160-9F0A-E449C5BDBF73}">
  <cacheSource type="worksheet">
    <worksheetSource ref="A1:T171" sheet="PLANEJAMENTO"/>
  </cacheSource>
  <cacheFields count="20">
    <cacheField name="ID SITE" numFmtId="0">
      <sharedItems containsMixedTypes="1" containsNumber="1" containsInteger="1" minValue="22080028" maxValue="89050013" count="168">
        <s v="BR88410-A"/>
        <s v="BR87873-R"/>
        <s v="BR72396-A"/>
        <n v="47080009"/>
        <n v="38050011"/>
        <n v="38050012"/>
        <n v="33050064"/>
        <n v="38050013"/>
        <n v="38050008"/>
        <n v="88050062"/>
        <n v="88050069"/>
        <n v="83010085"/>
        <n v="89050013"/>
        <s v="BR55017-A"/>
        <s v="BR56393-A"/>
        <s v="BR72051-A"/>
        <s v="BR72113-A"/>
        <s v="BR80008-A"/>
        <s v="SPVTR004"/>
        <s v="BR88343-R"/>
        <s v="SCP-ALY-001"/>
        <s v="BR56770-A"/>
        <s v="BR67246-A"/>
        <s v="BR67084-R"/>
        <s v="BR66924-R"/>
        <s v="BR67024-R"/>
        <s v="BR66989-R"/>
        <s v="BR62939-A"/>
        <s v="BR67038-R"/>
        <s v="RSA CONGONHAS"/>
        <s v="PABLM017"/>
        <s v="SPO094NP"/>
        <s v="MTBRX001"/>
        <s v="BR67360-A"/>
        <s v="TABOCA"/>
        <s v="BR67041-A"/>
        <s v="PABXX004"/>
        <s v="ROGVR003"/>
        <s v="BSA039T1"/>
        <s v="BR88222-A"/>
        <s v="TNSIMMU0001"/>
        <s v="BR75987-A"/>
        <s v="BR67096-R"/>
        <s v="BR66977-R"/>
        <s v="DFBSBBV010-K2"/>
        <s v="BR73340-R"/>
        <s v="BR72119-A"/>
        <s v="BR63311-A"/>
        <s v="BR87661-R"/>
        <s v="BR56365-A"/>
        <s v="BR88708-A"/>
        <s v="BSA045B1"/>
        <s v="BR63121-A"/>
        <n v="38010003"/>
        <s v="TORRE RECORD"/>
        <s v="MABCY001"/>
        <s v="PARMX006"/>
        <s v="MAVNX001"/>
        <s v="TNSMOSA002"/>
        <n v="65010027"/>
        <s v="BR88606-A"/>
        <s v="BR87717-A"/>
        <s v="BR54982-A"/>
        <s v="BR80534-A"/>
        <s v="BR87627-A"/>
        <s v="SM7 TANKS BR"/>
        <s v="RSP-SLE-007"/>
        <s v="SP4-BRU-001"/>
        <s v="SPP-NOA-011"/>
        <s v="MAJNP001"/>
        <s v="MABMX002"/>
        <s v="BR72493-A"/>
        <s v="MACDX002"/>
        <s v="GONVG001"/>
        <s v="BR88239-A"/>
        <n v="63060028"/>
        <n v="82080010"/>
        <s v="CONDOMINIO GENOVA"/>
        <s v="DFBRS174"/>
        <s v="MSPRT002"/>
        <s v="PAVGX002"/>
        <s v="MTCST002"/>
        <s v="BR77226-A"/>
        <s v="BR65897-A"/>
        <s v="BR73373-R"/>
        <s v="BR50560-A"/>
        <s v="SSS6"/>
        <s v="SS25"/>
        <s v="SS26"/>
        <s v="ST26"/>
        <s v="GTB40"/>
        <s v="GTB64"/>
        <s v="CPE003TM"/>
        <s v="CBA013TM"/>
        <s v="MZE001TM"/>
        <s v="SMT002VV"/>
        <s v="RJO242B1"/>
        <s v="CND001B1"/>
        <s v="RJO058NP"/>
        <s v="BR80471-A"/>
        <s v="BR88454-A"/>
        <s v="BSA030TM "/>
        <s v="PPO001TM"/>
        <s v="SBB002VV"/>
        <s v="GNA064TM"/>
        <s v="MSCMX003"/>
        <s v="SQR002VV"/>
        <s v="BSA067TM"/>
        <s v="CFR001VV"/>
        <s v="CBF003B1"/>
        <s v="CBF004B1"/>
        <s v="VVL004NX"/>
        <s v="MZF001B2"/>
        <s v="CRC004VV"/>
        <s v="ACZ003T1"/>
        <s v="CBF013T2"/>
        <s v="ETA001B3"/>
        <s v="FUD001TM"/>
        <s v="CVL003VV"/>
        <s v="22080028-2"/>
        <s v="NEO JMA"/>
        <s v="NEO SUP"/>
        <s v="NEO GUT"/>
        <s v="NEO REP ZBL"/>
        <s v="NEO SED"/>
        <s v="NEO BRN"/>
        <s v="NEO IRC"/>
        <s v="NEO ANC"/>
        <s v="NEO BRB"/>
        <s v="MAPLN001"/>
        <s v="SPNDT007"/>
        <s v="BR66801-A"/>
        <s v="BR49629-A"/>
        <s v="BR51120-A"/>
        <s v="MSNVN002"/>
        <s v="SP4-CDA-001"/>
        <s v="DVE001VV"/>
        <s v="BR-MG-BHE-01565"/>
        <s v="BR-PR-LDB-00383"/>
        <s v="BR-RJ-NIG-01608"/>
        <s v="BR-SC-SQX-01654"/>
        <s v="BR-SP-SPO-01848"/>
        <s v="BR-SP-TBS-00289"/>
        <s v="BR-MG-COG-01032"/>
        <s v="RJO221B1"/>
        <s v="CUB010VV"/>
        <n v="61060148"/>
        <s v="PRMGL001"/>
        <s v="MMS002T1"/>
        <n v="22080028"/>
        <s v="BAPXD4536"/>
        <s v="VGA001VV"/>
        <s v="JZF002VV"/>
        <s v="TURVO"/>
        <s v="UMB001TM"/>
        <s v="ABZ002AT"/>
        <s v="CGY005TM"/>
        <s v="BR49615-A"/>
        <s v="BAPRT002"/>
        <s v="GOGNAN2"/>
        <s v="GOGNAN1"/>
        <s v="GOGNAM9"/>
        <s v="GOGNAK8"/>
        <s v="BR54537-B"/>
        <s v="CEEUS001NX"/>
        <s v="RPE002T1"/>
        <s v="AFL001T1"/>
        <n v="61080024" u="1"/>
      </sharedItems>
    </cacheField>
    <cacheField name="IDEX CONTEL" numFmtId="0">
      <sharedItems/>
    </cacheField>
    <cacheField name="CLIENTE" numFmtId="0">
      <sharedItems containsBlank="1" count="18">
        <s v="SBA"/>
        <s v="IHS"/>
        <s v="HLB"/>
        <s v="RSA"/>
        <s v="WINITY"/>
        <s v="ATC"/>
        <s v="TABOCA"/>
        <s v="TBSA"/>
        <s v="RECORD"/>
        <s v="SM7"/>
        <s v=" GENOVA"/>
        <s v="TRANSPETRO"/>
        <s v="NEOENERGIA"/>
        <s v="QMC"/>
        <s v="IBEMA"/>
        <s v="GLOBAL"/>
        <s v="NEXUS"/>
        <m u="1"/>
      </sharedItems>
    </cacheField>
    <cacheField name="CIDADE" numFmtId="0">
      <sharedItems/>
    </cacheField>
    <cacheField name="ESTADO" numFmtId="0">
      <sharedItems/>
    </cacheField>
    <cacheField name="LOCALIZAÇÃO" numFmtId="0">
      <sharedItems/>
    </cacheField>
    <cacheField name="SIENGE" numFmtId="0">
      <sharedItems containsString="0" containsBlank="1" containsNumber="1" containsInteger="1" minValue="399" maxValue="1953"/>
    </cacheField>
    <cacheField name="OS TOWER SYSTEM" numFmtId="0">
      <sharedItems containsString="0" containsBlank="1" containsNumber="1" containsInteger="1" minValue="3036" maxValue="28715"/>
    </cacheField>
    <cacheField name="ANALISTA CONTEL" numFmtId="0">
      <sharedItems containsBlank="1"/>
    </cacheField>
    <cacheField name="VALOR EMPREITA" numFmtId="164">
      <sharedItems containsSemiMixedTypes="0" containsString="0" containsNumber="1" minValue="0" maxValue="68500"/>
    </cacheField>
    <cacheField name="MATERIAL" numFmtId="164">
      <sharedItems containsString="0" containsBlank="1" containsNumber="1" minValue="0" maxValue="27453.33"/>
    </cacheField>
    <cacheField name="FRETE/DEMAIS ITENS" numFmtId="164">
      <sharedItems containsString="0" containsBlank="1" containsNumber="1" minValue="0" maxValue="398787.69"/>
    </cacheField>
    <cacheField name="ETAPA " numFmtId="0">
      <sharedItems/>
    </cacheField>
    <cacheField name="STATUS" numFmtId="0">
      <sharedItems/>
    </cacheField>
    <cacheField name="ORÇAMENTO (RECEITA) (R$)" numFmtId="44">
      <sharedItems containsString="0" containsBlank="1" containsNumber="1" minValue="0" maxValue="1022953.53"/>
    </cacheField>
    <cacheField name="CUSTOS TOTAIS (R$)" numFmtId="44">
      <sharedItems containsSemiMixedTypes="0" containsString="0" containsNumber="1" minValue="0" maxValue="398787.69"/>
    </cacheField>
    <cacheField name="LUCRO (R$)" numFmtId="44">
      <sharedItems containsSemiMixedTypes="0" containsString="0" containsNumber="1" minValue="-1900" maxValue="1022953.53"/>
    </cacheField>
    <cacheField name="M.C%" numFmtId="10">
      <sharedItems containsSemiMixedTypes="0" containsString="0" containsNumber="1" minValue="-0.17930991358022058" maxValue="1"/>
    </cacheField>
    <cacheField name="STATUS VIABILIDADE" numFmtId="0">
      <sharedItems/>
    </cacheField>
    <cacheField name="STATUS PRAZO" numFmtId="0">
      <sharedItems count="7">
        <s v="✅ CONCLUÍDO"/>
        <s v="⏰ ATRASADO"/>
        <s v="🕓 EM ANDAMENTO"/>
        <s v="⚠️ PARALISADO"/>
        <s v="🚫CANCELADO"/>
        <e v="#VALUE!" u="1"/>
        <s v="EM ANDAMENTO" u="1"/>
      </sharedItems>
    </cacheField>
  </cacheFields>
  <extLst>
    <ext xmlns:x14="http://schemas.microsoft.com/office/spreadsheetml/2009/9/main" uri="{725AE2AE-9491-48be-B2B4-4EB974FC3084}">
      <x14:pivotCacheDefinition pivotCacheId="18276532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x v="0"/>
    <s v="contel-01"/>
    <x v="0"/>
    <s v="CUJIBIM"/>
    <s v="RO"/>
    <s v="https://maps.app.goo.gl/Bpy8uL8ayiBD3Kdj7"/>
    <n v="1457"/>
    <n v="15869"/>
    <s v="PEDRO"/>
    <n v="11006"/>
    <n v="5615.61"/>
    <n v="1600"/>
    <s v="Finalizado"/>
    <s v="Finalizado"/>
    <n v="38900.699999999997"/>
    <n v="18221.61"/>
    <n v="20679.089999999997"/>
    <n v="0.53158657813355537"/>
    <s v="✅ OK - Fechar Parceiro"/>
    <x v="0"/>
  </r>
  <r>
    <x v="1"/>
    <s v="contel-02"/>
    <x v="0"/>
    <s v="GOIÂNIA"/>
    <s v="GO"/>
    <s v="https://maps.app.goo.gl/TnE3sh9j2FyxrzrFA"/>
    <n v="1527"/>
    <n v="16078"/>
    <s v="PEDRO"/>
    <n v="800"/>
    <n v="1087.53"/>
    <n v="804.64"/>
    <s v="Finalizado"/>
    <s v="Finalizado"/>
    <n v="5055.68"/>
    <n v="2692.17"/>
    <n v="2363.5100000000002"/>
    <n v="0.46749596493448953"/>
    <s v="✅ OK - Fechar Parceiro"/>
    <x v="0"/>
  </r>
  <r>
    <x v="2"/>
    <s v="contel-03"/>
    <x v="0"/>
    <s v="PONTE NOVA"/>
    <s v="MG"/>
    <s v="https://maps.app.goo.gl/5FumfAyzjMHGaKJY8"/>
    <n v="1582"/>
    <n v="15870"/>
    <s v="DANIEL"/>
    <n v="1300"/>
    <n v="650"/>
    <n v="285.3"/>
    <s v="Finalizado"/>
    <s v="Finalizado"/>
    <n v="9830.09"/>
    <n v="2235.3000000000002"/>
    <n v="7594.79"/>
    <n v="0.77260635457050753"/>
    <s v="✅ OK - Fechar Parceiro"/>
    <x v="0"/>
  </r>
  <r>
    <x v="3"/>
    <s v="contel-04"/>
    <x v="1"/>
    <s v="TIMBÓ"/>
    <s v="SC"/>
    <s v="https://maps.app.goo.gl/GEmH9t4Wq3nsX1C89"/>
    <n v="1665"/>
    <n v="4014"/>
    <s v="PEDRO"/>
    <n v="10000"/>
    <n v="10267.700000000001"/>
    <n v="853.78"/>
    <s v="Finalizado"/>
    <s v="Finalizado"/>
    <n v="119837.4"/>
    <n v="21121.48"/>
    <n v="98715.92"/>
    <n v="0.82374884635347567"/>
    <s v="✅ OK - Fechar Parceiro"/>
    <x v="0"/>
  </r>
  <r>
    <x v="4"/>
    <s v="contel-05"/>
    <x v="1"/>
    <s v="TRÊS MARIAS"/>
    <s v="MG"/>
    <s v="https://maps.app.goo.gl/NzQT4s3F2LTnY1nW9"/>
    <n v="1678"/>
    <n v="12763"/>
    <s v="PEDRO"/>
    <n v="0"/>
    <n v="24882.240000000002"/>
    <n v="0"/>
    <s v="Laudo de verticalidade, Envio RFI "/>
    <s v="Em andamento"/>
    <n v="89264"/>
    <n v="24882.240000000002"/>
    <n v="64381.759999999995"/>
    <n v="0.7212511202724502"/>
    <s v="✅ OK - Fechar Parceiro"/>
    <x v="1"/>
  </r>
  <r>
    <x v="5"/>
    <s v="contel-06"/>
    <x v="1"/>
    <s v="TRÊS MARIAS"/>
    <s v="MG"/>
    <s v="https://maps.app.goo.gl/FhvvJXRy7LcsaaeZ7"/>
    <n v="1679"/>
    <n v="12764"/>
    <s v="PEDRO"/>
    <n v="0"/>
    <n v="16990.400000000001"/>
    <n v="11517.19"/>
    <s v="Laudo de verticalidade, Envio RFI "/>
    <s v="Em andamento"/>
    <n v="89264"/>
    <n v="28507.590000000004"/>
    <n v="60756.409999999996"/>
    <n v="0.68063732299695279"/>
    <s v="✅ OK - Fechar Parceiro"/>
    <x v="1"/>
  </r>
  <r>
    <x v="6"/>
    <s v="contel-07"/>
    <x v="1"/>
    <s v="POCRANE"/>
    <s v="MG"/>
    <s v="https://maps.app.goo.gl/3RSxxC8eTf2D8Cmh8"/>
    <n v="1680"/>
    <n v="12765"/>
    <s v="PEDRO"/>
    <n v="26000"/>
    <n v="15959.77"/>
    <n v="13697.3"/>
    <s v="Laudo de verticalidade, Envio RFI "/>
    <s v="Em andamento"/>
    <n v="89264"/>
    <n v="55657.070000000007"/>
    <n v="33606.929999999993"/>
    <n v="0.37648917816813043"/>
    <s v="✅ OK - Fechar Parceiro"/>
    <x v="1"/>
  </r>
  <r>
    <x v="7"/>
    <s v="contel-08"/>
    <x v="1"/>
    <s v="SÃO GONÇALO DO ABAETÉ"/>
    <s v="MG"/>
    <s v="https://maps.app.goo.gl/mHsLofcw4vKxRipE6"/>
    <n v="1681"/>
    <n v="12766"/>
    <s v="PEDRO"/>
    <n v="27500"/>
    <n v="27453.33"/>
    <n v="1490"/>
    <s v="Laudo de verticalidade, Envio RFI "/>
    <s v="Em andamento"/>
    <n v="89264"/>
    <n v="56443.33"/>
    <n v="32820.67"/>
    <n v="0.36768092400071695"/>
    <s v="✅ OK - Fechar Parceiro"/>
    <x v="2"/>
  </r>
  <r>
    <x v="8"/>
    <s v="contel-09"/>
    <x v="1"/>
    <s v="FORMOSO"/>
    <s v="MG"/>
    <s v="https://maps.app.goo.gl/JBh7GfA722cC6J6y7"/>
    <n v="1682"/>
    <n v="12767"/>
    <s v="PEDRO"/>
    <n v="27000"/>
    <n v="20963.080000000002"/>
    <n v="0"/>
    <s v="Laudo de verticalidade, Envio RFI "/>
    <s v="Em andamento"/>
    <n v="89264"/>
    <n v="47963.08"/>
    <n v="41300.92"/>
    <n v="0.46268282846388242"/>
    <s v="✅ OK - Fechar Parceiro"/>
    <x v="1"/>
  </r>
  <r>
    <x v="9"/>
    <s v="contel-10"/>
    <x v="1"/>
    <s v="QUIXADÁ"/>
    <s v="CE"/>
    <s v="https://maps.app.goo.gl/QdG7puZ7e7jJzaxS9"/>
    <n v="1683"/>
    <n v="12768"/>
    <s v="PEDRO"/>
    <n v="24500"/>
    <n v="18952.57"/>
    <n v="0"/>
    <s v="Finalizado"/>
    <s v="Finalizado"/>
    <n v="89264"/>
    <n v="43452.57"/>
    <n v="45811.43"/>
    <n v="0.51321282936010038"/>
    <s v="✅ OK - Fechar Parceiro"/>
    <x v="0"/>
  </r>
  <r>
    <x v="10"/>
    <s v="contel-11"/>
    <x v="1"/>
    <s v="MALHADA"/>
    <s v="CE"/>
    <s v="https://maps.app.goo.gl/7anpJtZhoq92gEPg7"/>
    <n v="1684"/>
    <n v="12769"/>
    <s v="PEDRO"/>
    <n v="0"/>
    <n v="13872.51"/>
    <n v="0"/>
    <s v="Finalizado"/>
    <s v="Finalizado"/>
    <n v="89264"/>
    <n v="13872.51"/>
    <n v="75391.490000000005"/>
    <n v="0.84459009231045001"/>
    <s v="✅ OK - Fechar Parceiro"/>
    <x v="0"/>
  </r>
  <r>
    <x v="11"/>
    <s v="contel-12"/>
    <x v="1"/>
    <s v="BERNARDINO BATISTA"/>
    <s v="PB"/>
    <s v="https://maps.app.goo.gl/rkUwhhpPfBuKEvyx7"/>
    <n v="1685"/>
    <n v="12770"/>
    <s v="PEDRO"/>
    <n v="0"/>
    <n v="25453.15"/>
    <n v="0"/>
    <s v="Fabricação / Galvanização"/>
    <s v="Em andamento"/>
    <n v="89264"/>
    <n v="25453.15"/>
    <n v="63810.85"/>
    <n v="0.71485537282667144"/>
    <s v="✅ OK - Fechar Parceiro"/>
    <x v="1"/>
  </r>
  <r>
    <x v="12"/>
    <s v="contel-13"/>
    <x v="1"/>
    <s v="LAGOA DO SITIO"/>
    <s v="PI"/>
    <s v="https://maps.app.goo.gl/1h4ggSVzz3kafxQu8"/>
    <n v="1686"/>
    <n v="12771"/>
    <s v="PEDRO"/>
    <n v="0"/>
    <n v="20703.669999999998"/>
    <n v="0"/>
    <s v="Fabricação / Galvanização"/>
    <s v="Em andamento"/>
    <n v="89264"/>
    <n v="20703.669999999998"/>
    <n v="68560.33"/>
    <n v="0.76806248879727557"/>
    <s v="✅ OK - Fechar Parceiro"/>
    <x v="2"/>
  </r>
  <r>
    <x v="13"/>
    <s v="contel-14"/>
    <x v="0"/>
    <s v="MARQUES DE SOUSA"/>
    <s v="RS"/>
    <s v="https://maps.app.goo.gl/NXVPhzLsuvYKgB5N9"/>
    <n v="1688"/>
    <n v="12707"/>
    <s v="DANILO"/>
    <n v="7800"/>
    <n v="0"/>
    <n v="4071.47"/>
    <s v="Finalizado"/>
    <s v="Finalizado"/>
    <n v="26432.799999999999"/>
    <n v="11871.47"/>
    <n v="14561.33"/>
    <n v="0.55088110226688058"/>
    <s v="✅ OK - Fechar Parceiro"/>
    <x v="0"/>
  </r>
  <r>
    <x v="14"/>
    <s v="contel-15"/>
    <x v="0"/>
    <s v="TUPACIGUARA"/>
    <s v="MG"/>
    <s v="https://maps.app.goo.gl/68P1u6qzLNHyVJf99"/>
    <n v="1689"/>
    <n v="12708"/>
    <s v="DANILO"/>
    <n v="5900"/>
    <n v="0"/>
    <n v="503.03"/>
    <s v="Finalizado"/>
    <s v="Finalizado"/>
    <n v="10686"/>
    <n v="6403.03"/>
    <n v="4282.97"/>
    <n v="0.40080198390417371"/>
    <s v="✅ OK - Fechar Parceiro"/>
    <x v="0"/>
  </r>
  <r>
    <x v="15"/>
    <s v="contel-16"/>
    <x v="0"/>
    <s v="ÁGUA BOA"/>
    <s v="MG"/>
    <s v="https://maps.app.goo.gl/fWBGywBc7ew56GDf6"/>
    <n v="1690"/>
    <n v="12709"/>
    <s v="PEDRO"/>
    <n v="2600"/>
    <n v="690"/>
    <n v="405.79"/>
    <s v="Finalizado"/>
    <s v="Finalizado"/>
    <n v="9043.36"/>
    <n v="3695.79"/>
    <n v="5347.5700000000006"/>
    <n v="0.59132556925744417"/>
    <s v="✅ OK - Fechar Parceiro"/>
    <x v="0"/>
  </r>
  <r>
    <x v="16"/>
    <s v="contel-17"/>
    <x v="0"/>
    <s v="UBERLÂNDIA"/>
    <s v="MG"/>
    <s v="https://maps.app.goo.gl/1tFooPuf357rJP9D8"/>
    <n v="1691"/>
    <n v="12710"/>
    <s v="DANILO"/>
    <n v="7100"/>
    <n v="0"/>
    <n v="813.03"/>
    <s v="Finalizado"/>
    <s v="Finalizado"/>
    <n v="14054.63"/>
    <n v="7913.03"/>
    <n v="6141.5999999999995"/>
    <n v="0.43698055373923039"/>
    <s v="✅ OK - Fechar Parceiro"/>
    <x v="0"/>
  </r>
  <r>
    <x v="17"/>
    <s v="contel-18"/>
    <x v="0"/>
    <s v="ONDA VERDE"/>
    <s v="SP"/>
    <s v="https://maps.app.goo.gl/a3MkFUiYZv8tBiR68"/>
    <n v="1692"/>
    <n v="12725"/>
    <s v="PEDRO"/>
    <n v="4000"/>
    <n v="2506.37"/>
    <n v="551.14"/>
    <s v="Finalizado"/>
    <s v="Finalizado"/>
    <n v="11578.6"/>
    <n v="7057.51"/>
    <n v="4521.09"/>
    <n v="0.3904694868118771"/>
    <s v="✅ OK - Fechar Parceiro"/>
    <x v="0"/>
  </r>
  <r>
    <x v="18"/>
    <s v="contel-19"/>
    <x v="2"/>
    <s v="VOTORANTIM"/>
    <s v="SP"/>
    <s v="https://maps.app.goo.gl/Th38PhYKAncLipZ27"/>
    <n v="1693"/>
    <n v="12706"/>
    <s v="DANILO"/>
    <n v="67992.100000000006"/>
    <n v="0"/>
    <n v="1631.45"/>
    <s v="Finalizado"/>
    <s v="Finalizado"/>
    <n v="96659.33"/>
    <n v="69623.55"/>
    <n v="27035.78"/>
    <n v="0.2797017111540086"/>
    <s v="✅ OK - Fechar Parceiro"/>
    <x v="0"/>
  </r>
  <r>
    <x v="19"/>
    <s v="contel-20"/>
    <x v="0"/>
    <s v="GOIÂNIA"/>
    <s v="GO"/>
    <s v="https://maps.app.goo.gl/P8HNKAFEt5Vyn9ov6"/>
    <n v="1699"/>
    <n v="12890"/>
    <s v="PEDRO"/>
    <n v="0"/>
    <n v="0"/>
    <n v="22969.73"/>
    <s v="Finalizado"/>
    <s v="Finalizado"/>
    <n v="31000"/>
    <n v="22969.73"/>
    <n v="8030.27"/>
    <n v="0.25904096774193552"/>
    <s v="✅ OK - Fechar Parceiro"/>
    <x v="0"/>
  </r>
  <r>
    <x v="20"/>
    <s v="contel-21"/>
    <x v="2"/>
    <s v="AGROLÂNDIA"/>
    <s v="SC"/>
    <s v="https://maps.app.goo.gl/NaUq9UiMxWyawAK88"/>
    <n v="1703"/>
    <n v="15333"/>
    <s v="DANILO"/>
    <n v="68500"/>
    <n v="0"/>
    <n v="0"/>
    <s v="Finalizado"/>
    <s v="Finalizado"/>
    <n v="124301.29"/>
    <n v="68500"/>
    <n v="55801.289999999994"/>
    <n v="0.44891963711720123"/>
    <s v="✅ OK - Fechar Parceiro"/>
    <x v="0"/>
  </r>
  <r>
    <x v="21"/>
    <s v="contel-22"/>
    <x v="0"/>
    <s v="MARIPÁ"/>
    <s v="PR"/>
    <s v="https://maps.app.goo.gl/MZEmbX8dZ75Y1n2FA"/>
    <n v="1704"/>
    <n v="15339"/>
    <s v="HENRIQUE"/>
    <n v="4700"/>
    <n v="0"/>
    <n v="976.47"/>
    <s v="Finalizado"/>
    <s v="Finalizado"/>
    <n v="26179.15"/>
    <n v="5676.47"/>
    <n v="20502.68"/>
    <n v="0.78316828468456767"/>
    <s v="✅ OK - Fechar Parceiro"/>
    <x v="0"/>
  </r>
  <r>
    <x v="22"/>
    <s v="contel-23"/>
    <x v="0"/>
    <s v="SANTO ANTONIO DE JESUS"/>
    <s v="BA"/>
    <s v="https://maps.app.goo.gl/oNpjFDZUnzw5kCBu5"/>
    <n v="1705"/>
    <n v="15375"/>
    <s v="HENRIQUE"/>
    <n v="7000"/>
    <n v="1887.66"/>
    <n v="1242.55"/>
    <s v="Finalizado"/>
    <s v="Finalizado"/>
    <n v="15777"/>
    <n v="10130.209999999999"/>
    <n v="5646.7900000000009"/>
    <n v="0.35791278443303548"/>
    <s v="✅ OK - Fechar Parceiro"/>
    <x v="0"/>
  </r>
  <r>
    <x v="23"/>
    <s v="contel-24"/>
    <x v="0"/>
    <s v="BRASILIA"/>
    <s v="DF"/>
    <s v="https://maps.app.goo.gl/VUg623hsokWvzGNL7"/>
    <n v="1707"/>
    <n v="15839"/>
    <s v="PEDRO"/>
    <n v="6000"/>
    <n v="5882.71"/>
    <n v="1060.22"/>
    <s v="Paralisada"/>
    <s v="Paralisada"/>
    <n v="33367.08"/>
    <n v="12942.929999999998"/>
    <n v="20424.150000000001"/>
    <n v="0.6121048050953215"/>
    <s v="✅ OK - Fechar Parceiro"/>
    <x v="3"/>
  </r>
  <r>
    <x v="24"/>
    <s v="contel-25"/>
    <x v="0"/>
    <s v="BRASILIA"/>
    <s v="DF"/>
    <s v="https://maps.app.goo.gl/N5Xkt4MkHP63V4dR9"/>
    <n v="1708"/>
    <n v="15835"/>
    <s v="PEDRO"/>
    <n v="10000"/>
    <n v="6199.93"/>
    <n v="2925.99"/>
    <s v="Finalizado"/>
    <s v="Finalizado"/>
    <n v="41818.769999999997"/>
    <n v="19125.919999999998"/>
    <n v="22692.85"/>
    <n v="0.54264747624093201"/>
    <s v="✅ OK - Fechar Parceiro"/>
    <x v="0"/>
  </r>
  <r>
    <x v="25"/>
    <s v="contel-26"/>
    <x v="0"/>
    <s v="BRASILIA"/>
    <s v="DF"/>
    <s v="https://maps.app.goo.gl/8QBsETzKzhLbBjuU9"/>
    <n v="1710"/>
    <n v="15837"/>
    <s v="PEDRO"/>
    <n v="5500"/>
    <n v="6106.97"/>
    <n v="2867.75"/>
    <s v="Paralisada"/>
    <s v="Paralisada"/>
    <n v="38986.17"/>
    <n v="14474.720000000001"/>
    <n v="24511.449999999997"/>
    <n v="0.628721672326366"/>
    <s v="✅ OK - Fechar Parceiro"/>
    <x v="3"/>
  </r>
  <r>
    <x v="26"/>
    <s v="contel-27"/>
    <x v="0"/>
    <s v="BRASILIA"/>
    <s v="DF"/>
    <s v="https://maps.app.goo.gl/n686QmNcfcBo1fvn9"/>
    <n v="1712"/>
    <n v="15836"/>
    <s v="PEDRO"/>
    <n v="6000"/>
    <n v="5776.98"/>
    <n v="1661.26"/>
    <s v="Envio RFI "/>
    <s v="Em andamento"/>
    <n v="35038.370000000003"/>
    <n v="13438.24"/>
    <n v="21600.130000000005"/>
    <n v="0.61647074335935159"/>
    <s v="✅ OK - Fechar Parceiro"/>
    <x v="1"/>
  </r>
  <r>
    <x v="27"/>
    <s v="contel-28"/>
    <x v="0"/>
    <s v="MANDAGUARI"/>
    <s v="PR"/>
    <s v="https://maps.app.goo.gl/8uUT7xPyXoD7n6R97"/>
    <n v="1721"/>
    <n v="13533"/>
    <s v="DANILO"/>
    <n v="5500"/>
    <n v="2290"/>
    <n v="1288.58"/>
    <s v="Finalizado"/>
    <s v="Finalizado"/>
    <n v="21402.91"/>
    <n v="9078.58"/>
    <n v="12324.33"/>
    <n v="0.57582496959525598"/>
    <s v="✅ OK - Fechar Parceiro"/>
    <x v="0"/>
  </r>
  <r>
    <x v="28"/>
    <s v="contel-29"/>
    <x v="0"/>
    <s v="BRASILIA"/>
    <s v="DF"/>
    <s v="https://maps.app.goo.gl/sViMeVAQPNYsMdCb6"/>
    <n v="1722"/>
    <n v="15838"/>
    <s v="PEDRO"/>
    <n v="0"/>
    <n v="10808.4"/>
    <n v="8917.75"/>
    <s v="Paralisada"/>
    <s v="Paralisada"/>
    <n v="38986.17"/>
    <n v="19726.150000000001"/>
    <n v="19260.019999999997"/>
    <n v="0.49402185441657892"/>
    <s v="✅ OK - Fechar Parceiro"/>
    <x v="3"/>
  </r>
  <r>
    <x v="29"/>
    <s v="contel-30"/>
    <x v="3"/>
    <s v="SÃO PAULO"/>
    <s v="SP"/>
    <s v="https://maps.app.goo.gl/gvxVcXzWbNzANoi7A"/>
    <n v="1723"/>
    <n v="15324"/>
    <s v="PEDRO"/>
    <n v="0"/>
    <n v="0"/>
    <n v="80238.27"/>
    <s v="Pintura"/>
    <s v="Em andamento"/>
    <n v="390000"/>
    <n v="80238.27"/>
    <n v="309761.73"/>
    <n v="0.79426084615384607"/>
    <s v="✅ OK - Fechar Parceiro"/>
    <x v="2"/>
  </r>
  <r>
    <x v="30"/>
    <s v="contel-31"/>
    <x v="4"/>
    <s v="BELÉM"/>
    <s v="PA"/>
    <s v="https://maps.app.goo.gl/Bepn5D7ufzR15vem9"/>
    <n v="1724"/>
    <n v="15338"/>
    <s v="DANILO"/>
    <n v="5500"/>
    <n v="0"/>
    <n v="8374.6200000000008"/>
    <s v="Finalizado"/>
    <s v="Finalizado"/>
    <n v="27452.37"/>
    <n v="13874.62"/>
    <n v="13577.749999999998"/>
    <n v="0.49459299871012952"/>
    <s v="✅ OK - Fechar Parceiro"/>
    <x v="0"/>
  </r>
  <r>
    <x v="31"/>
    <s v="contel-32"/>
    <x v="5"/>
    <s v="OSASCO"/>
    <s v="SP"/>
    <s v="https://maps.app.goo.gl/WvGETYRYMzUG6boy7"/>
    <n v="1726"/>
    <n v="12737"/>
    <s v="DANIEL"/>
    <n v="22200"/>
    <n v="0"/>
    <n v="0"/>
    <s v="Finalizado"/>
    <s v="Finalizado"/>
    <n v="45938"/>
    <n v="22200"/>
    <n v="23738"/>
    <n v="0.51673995385084248"/>
    <s v="✅ OK - Fechar Parceiro"/>
    <x v="0"/>
  </r>
  <r>
    <x v="32"/>
    <s v="contel-33"/>
    <x v="2"/>
    <s v="BARRA DO BUGRES"/>
    <s v="MT"/>
    <s v="https://maps.app.goo.gl/wJjfjRyTwZ1F2UfW8"/>
    <n v="1730"/>
    <n v="15833"/>
    <s v="DANILO"/>
    <n v="14500"/>
    <n v="13226.49"/>
    <n v="5278.75"/>
    <s v="Homologação"/>
    <s v="Em andamento"/>
    <n v="72960.25"/>
    <n v="33005.24"/>
    <n v="39955.01"/>
    <n v="0.54762709831723444"/>
    <s v="✅ OK - Fechar Parceiro"/>
    <x v="3"/>
  </r>
  <r>
    <x v="33"/>
    <s v="contel-34"/>
    <x v="0"/>
    <s v="JACOBINA"/>
    <s v="BA"/>
    <s v="https://maps.app.goo.gl/T1N7nRJkEsbzh7ZR8"/>
    <n v="1736"/>
    <n v="15864"/>
    <s v="HENRIQUE"/>
    <n v="9500"/>
    <n v="1907.5"/>
    <n v="1366.03"/>
    <s v="Finalizado"/>
    <s v="Finalizado"/>
    <n v="24565.64"/>
    <n v="12773.53"/>
    <n v="11792.109999999999"/>
    <n v="0.48002453833891562"/>
    <s v="✅ OK - Fechar Parceiro"/>
    <x v="0"/>
  </r>
  <r>
    <x v="34"/>
    <s v="contel-35"/>
    <x v="6"/>
    <s v="PRESIDENTE FIGUEIREDO"/>
    <s v="AM"/>
    <s v="https://maps.app.goo.gl/R79HG9WpuJaawnCV8"/>
    <n v="1738"/>
    <n v="15913"/>
    <s v="ELIAS"/>
    <n v="0"/>
    <m/>
    <n v="398787.69"/>
    <s v="Execução"/>
    <s v="Em andamento"/>
    <n v="719243.65"/>
    <n v="398787.69"/>
    <n v="320455.96000000002"/>
    <n v="0.44554576185691736"/>
    <s v="✅ OK - Fechar Parceiro"/>
    <x v="2"/>
  </r>
  <r>
    <x v="35"/>
    <s v="contel-36"/>
    <x v="0"/>
    <s v="BRASILIA"/>
    <s v="DF"/>
    <s v="https://maps.app.goo.gl/weuBtUozD4HYXUj97"/>
    <n v="1740"/>
    <n v="15902"/>
    <s v="DANILO"/>
    <n v="9800"/>
    <n v="2777.43"/>
    <n v="9180.9"/>
    <s v="Finalizado"/>
    <s v="Finalizado"/>
    <n v="33703.440000000002"/>
    <n v="21758.33"/>
    <n v="11945.11"/>
    <n v="0.35441812467807438"/>
    <s v="✅ OK - Fechar Parceiro"/>
    <x v="0"/>
  </r>
  <r>
    <x v="36"/>
    <s v="contel-37"/>
    <x v="2"/>
    <s v="BAIAO"/>
    <s v="PA"/>
    <s v="https://maps.app.goo.gl/KJjNZ6fD7giBqKgNA"/>
    <n v="1741"/>
    <n v="15925"/>
    <s v="PEDRO"/>
    <n v="2800"/>
    <n v="3000"/>
    <n v="5290.7"/>
    <s v="Finalizado"/>
    <s v="Finalizado"/>
    <n v="23000"/>
    <n v="11090.7"/>
    <n v="11909.3"/>
    <n v="0.51779565217391299"/>
    <s v="✅ OK - Fechar Parceiro"/>
    <x v="0"/>
  </r>
  <r>
    <x v="37"/>
    <s v="contel-38"/>
    <x v="2"/>
    <s v="GOVERNADOR JORGE TEIXEIRA"/>
    <s v="RO"/>
    <s v="https://maps.app.goo.gl/G5rypL41VaPKyhY96"/>
    <n v="1742"/>
    <n v="15926"/>
    <s v="PEDRO"/>
    <n v="3000"/>
    <n v="3950"/>
    <n v="3271.47"/>
    <s v="Finalizado"/>
    <s v="Finalizado"/>
    <n v="22000"/>
    <n v="10221.469999999999"/>
    <n v="11778.53"/>
    <n v="0.53538772727272732"/>
    <s v="✅ OK - Fechar Parceiro"/>
    <x v="0"/>
  </r>
  <r>
    <x v="38"/>
    <s v="contel-39"/>
    <x v="5"/>
    <s v="BRASILIA"/>
    <s v="DF"/>
    <s v="https://maps.app.goo.gl/i999QxrEM8jV9vnk6"/>
    <n v="1743"/>
    <n v="3941"/>
    <s v="DIOGO"/>
    <n v="17500"/>
    <n v="0"/>
    <n v="0"/>
    <s v="Finalizado"/>
    <s v="Finalizado"/>
    <n v="39109.17"/>
    <n v="17500"/>
    <n v="21609.17"/>
    <n v="0.55253461016943084"/>
    <s v="✅ OK - Fechar Parceiro"/>
    <x v="0"/>
  </r>
  <r>
    <x v="39"/>
    <s v="contel-40"/>
    <x v="0"/>
    <s v="MANAUS"/>
    <s v="AM"/>
    <s v="https://maps.app.goo.gl/N1wQuUwkLKh5rKzy5"/>
    <n v="1744"/>
    <n v="15956"/>
    <s v="DANILO"/>
    <n v="7000"/>
    <n v="384.22"/>
    <n v="182.42"/>
    <s v="Finalizado"/>
    <s v="Finalizado"/>
    <n v="22240.32"/>
    <n v="7566.64"/>
    <n v="14673.68"/>
    <n v="0.65977827657156018"/>
    <s v="✅ OK - Fechar Parceiro"/>
    <x v="0"/>
  </r>
  <r>
    <x v="40"/>
    <s v="contel-41"/>
    <x v="7"/>
    <s v="MOMBUCA"/>
    <s v="SP"/>
    <s v="https://maps.app.goo.gl/XbAM1sR9FwVJQKhz9"/>
    <n v="1745"/>
    <n v="15969"/>
    <s v="DANIEL"/>
    <n v="16000"/>
    <n v="0"/>
    <n v="421.47"/>
    <s v="Finalizado"/>
    <s v="Finalizado"/>
    <n v="26212.400000000001"/>
    <n v="16421.47"/>
    <n v="9790.93"/>
    <n v="0.37352283652012025"/>
    <s v="✅ OK - Fechar Parceiro"/>
    <x v="0"/>
  </r>
  <r>
    <x v="41"/>
    <s v="contel-42"/>
    <x v="0"/>
    <s v="LOUVEIRA"/>
    <s v="SP"/>
    <s v="https://maps.app.goo.gl/YAEePw8DBaigcEbi7"/>
    <n v="1749"/>
    <n v="16079"/>
    <s v="PEDRO"/>
    <n v="9100"/>
    <n v="5494.36"/>
    <n v="3138.76"/>
    <s v="Finalizado"/>
    <s v="Finalizado"/>
    <n v="24000"/>
    <n v="17733.120000000003"/>
    <n v="6266.8799999999974"/>
    <n v="0.26111999999999991"/>
    <s v="✅ OK - Fechar Parceiro"/>
    <x v="0"/>
  </r>
  <r>
    <x v="42"/>
    <s v="contel-43"/>
    <x v="0"/>
    <s v="BRASILIA"/>
    <s v="DF"/>
    <s v="https://maps.app.goo.gl/GQsw2YcvcTF9vCbU9"/>
    <n v="1750"/>
    <n v="26516"/>
    <s v="PEDRO"/>
    <n v="4300"/>
    <n v="603.87"/>
    <n v="356.38"/>
    <s v="Finalizado"/>
    <s v="Finalizado"/>
    <n v="14800"/>
    <n v="5260.25"/>
    <n v="9539.75"/>
    <n v="0.64457770270270265"/>
    <s v="✅ OK - Fechar Parceiro"/>
    <x v="0"/>
  </r>
  <r>
    <x v="43"/>
    <s v="contel-44"/>
    <x v="0"/>
    <s v=" BRASILIA"/>
    <s v="DF"/>
    <s v="https://maps.app.goo.gl/Kn7DSsa6VLknYCGs5"/>
    <n v="1751"/>
    <n v="16050"/>
    <s v="HENRIQUE"/>
    <n v="1500"/>
    <n v="6000"/>
    <n v="271.47000000000003"/>
    <s v="Finalizado"/>
    <s v="Finalizado"/>
    <n v="31132.799999999999"/>
    <n v="7771.47"/>
    <n v="23361.329999999998"/>
    <n v="0.75037677304964534"/>
    <s v="✅ OK - Fechar Parceiro"/>
    <x v="0"/>
  </r>
  <r>
    <x v="44"/>
    <s v="contel-45"/>
    <x v="2"/>
    <s v="BRASILIA"/>
    <s v="DF"/>
    <s v="https://maps.app.goo.gl/bVHR4YzBtG4xjtc59"/>
    <n v="1752"/>
    <n v="16080"/>
    <s v="HENRIQUE"/>
    <n v="10000"/>
    <n v="4152.28"/>
    <n v="2386.9499999999998"/>
    <s v="Finalizado"/>
    <s v="Finalizado"/>
    <n v="25374.94"/>
    <n v="16539.23"/>
    <n v="8835.7099999999991"/>
    <n v="0.34820614354162016"/>
    <s v="✅ OK - Fechar Parceiro"/>
    <x v="0"/>
  </r>
  <r>
    <x v="45"/>
    <s v="contel-46"/>
    <x v="0"/>
    <s v="JUIZ DE FORA"/>
    <s v="MG"/>
    <s v="https://maps.app.goo.gl/bVHR4YzBtG4xjtc59"/>
    <n v="1754"/>
    <n v="16104"/>
    <s v="DANILO"/>
    <n v="1400"/>
    <n v="849.39"/>
    <n v="103.03"/>
    <s v="Finalizado"/>
    <s v="Finalizado"/>
    <n v="11928.07"/>
    <n v="2352.42"/>
    <n v="9575.65"/>
    <n v="0.80278284751850049"/>
    <s v="✅ OK - Fechar Parceiro"/>
    <x v="0"/>
  </r>
  <r>
    <x v="46"/>
    <s v="contel-47"/>
    <x v="0"/>
    <s v="ITUIUTUBA"/>
    <s v="MG"/>
    <s v="https://maps.app.goo.gl/Sin5JLSmbvkHjBk27"/>
    <n v="1755"/>
    <n v="16211"/>
    <s v="DANILO"/>
    <n v="11750"/>
    <n v="21701.26"/>
    <n v="271.45999999999998"/>
    <s v="Finalizado"/>
    <s v="Finalizado"/>
    <n v="42000"/>
    <n v="33722.719999999994"/>
    <n v="8277.2800000000061"/>
    <n v="0.19707809523809539"/>
    <s v="⚠️ Ajustar Custos (&lt;20%)"/>
    <x v="0"/>
  </r>
  <r>
    <x v="47"/>
    <s v="contel-48"/>
    <x v="0"/>
    <s v="VIAMÃO"/>
    <s v="RS"/>
    <s v="https://maps.app.goo.gl/HJwM6jyWjd5wY7ZK8"/>
    <n v="1756"/>
    <n v="16204"/>
    <s v="DANIEL"/>
    <n v="4300"/>
    <n v="1724.16"/>
    <n v="5103.03"/>
    <s v="Finalizado"/>
    <s v="Finalizado"/>
    <n v="9435.34"/>
    <n v="11127.189999999999"/>
    <n v="-1691.8499999999985"/>
    <n v="-0.17930991358022058"/>
    <s v="⚠️ Ajustar Custos (&lt;20%)"/>
    <x v="0"/>
  </r>
  <r>
    <x v="48"/>
    <s v="contel-49"/>
    <x v="0"/>
    <s v="GOIÂNIA"/>
    <s v="GO"/>
    <s v="https://maps.app.goo.gl/S1HY4DQj146ChMiu6"/>
    <n v="1785"/>
    <n v="16035"/>
    <s v="DANILO"/>
    <n v="2900"/>
    <n v="475.31"/>
    <n v="285.58999999999997"/>
    <s v="Finalizado"/>
    <s v="Finalizado"/>
    <n v="23387.81"/>
    <n v="3660.9"/>
    <n v="19726.91"/>
    <n v="0.84346973915043777"/>
    <s v="✅ OK - Fechar Parceiro"/>
    <x v="0"/>
  </r>
  <r>
    <x v="49"/>
    <s v="contel-50"/>
    <x v="0"/>
    <s v="URBERLÂNDIA"/>
    <s v="MG"/>
    <s v="https://maps.app.goo.gl/uVXDjniecgMFdrLf7"/>
    <n v="1788"/>
    <n v="16249"/>
    <s v="HENRIQUE"/>
    <n v="1800"/>
    <n v="2339.27"/>
    <n v="499.08"/>
    <s v="Finalizado"/>
    <s v="Finalizado"/>
    <n v="8450.74"/>
    <n v="4638.3500000000004"/>
    <n v="3812.3899999999994"/>
    <n v="0.4511309068791608"/>
    <s v="✅ OK - Fechar Parceiro"/>
    <x v="0"/>
  </r>
  <r>
    <x v="50"/>
    <s v="contel-51"/>
    <x v="0"/>
    <s v="BELÉM"/>
    <s v="PA"/>
    <s v="https://maps.app.goo.gl/TbEen9M4dimW85mT9"/>
    <n v="1791"/>
    <n v="16483"/>
    <s v="PEDRO"/>
    <n v="14300"/>
    <n v="6024.31"/>
    <n v="3264.94"/>
    <s v="Envio RFI "/>
    <s v="Em andamento"/>
    <n v="90000"/>
    <n v="23589.25"/>
    <n v="66410.75"/>
    <n v="0.7378972222222222"/>
    <s v="✅ OK - Fechar Parceiro"/>
    <x v="1"/>
  </r>
  <r>
    <x v="51"/>
    <s v="contel-52"/>
    <x v="5"/>
    <s v="BRASILIA"/>
    <s v="DF"/>
    <s v="https://maps.app.goo.gl/GBUYUza8gKxz8Bx79"/>
    <n v="1793"/>
    <n v="3763"/>
    <s v="DANILO"/>
    <n v="2000"/>
    <n v="9427.4699999999993"/>
    <n v="0"/>
    <s v="Finalizado"/>
    <s v="Finalizado"/>
    <n v="21692.34"/>
    <n v="11427.47"/>
    <n v="10264.870000000001"/>
    <n v="0.47320252218064074"/>
    <s v="✅ OK - Fechar Parceiro"/>
    <x v="0"/>
  </r>
  <r>
    <x v="52"/>
    <s v="contel-53"/>
    <x v="0"/>
    <s v="CAAPIRANGA"/>
    <s v="AM"/>
    <s v="https://maps.app.goo.gl/LXQceEw8mfhTQUKn9"/>
    <n v="1794"/>
    <n v="16545"/>
    <s v="DANILO"/>
    <n v="13500"/>
    <n v="6254.86"/>
    <n v="2935.59"/>
    <s v="Execução"/>
    <s v="Em andamento"/>
    <n v="49865.72"/>
    <n v="22690.45"/>
    <n v="27175.27"/>
    <n v="0.54496896866223932"/>
    <s v="✅ OK - Fechar Parceiro"/>
    <x v="1"/>
  </r>
  <r>
    <x v="53"/>
    <s v="contel-54"/>
    <x v="1"/>
    <s v="MONTES CLAROS"/>
    <s v="MG"/>
    <s v="https://maps.app.goo.gl/5oZ66QsoUhn4549a8"/>
    <n v="1796"/>
    <n v="16581"/>
    <s v="DANILO"/>
    <n v="51000"/>
    <n v="0"/>
    <n v="5230.92"/>
    <s v="Execução"/>
    <s v="Em andamento"/>
    <n v="120000"/>
    <n v="56230.92"/>
    <n v="63769.08"/>
    <n v="0.53140900000000002"/>
    <s v="✅ OK - Fechar Parceiro"/>
    <x v="1"/>
  </r>
  <r>
    <x v="54"/>
    <s v="contel-55"/>
    <x v="8"/>
    <s v="CAMPO GRANDE"/>
    <s v="MS"/>
    <s v="https://maps.app.goo.gl/tNwDZEiEZkeZ1tw97"/>
    <n v="1799"/>
    <n v="16612"/>
    <s v="PEDRO"/>
    <n v="1900"/>
    <n v="0"/>
    <n v="0"/>
    <s v="Finalizado"/>
    <s v="Finalizado"/>
    <n v="8000"/>
    <n v="1900"/>
    <n v="6100"/>
    <n v="0.76249999999999996"/>
    <s v="✅ OK - Fechar Parceiro"/>
    <x v="0"/>
  </r>
  <r>
    <x v="55"/>
    <s v="contel-56"/>
    <x v="2"/>
    <s v="BACURITUBA"/>
    <s v="MA"/>
    <s v="https://maps.app.goo.gl/LSnUkKvUxFXntyix6"/>
    <n v="1803"/>
    <n v="16615"/>
    <s v="PEDRO"/>
    <n v="5260"/>
    <n v="0"/>
    <n v="285.58999999999997"/>
    <s v="Finalizado"/>
    <s v="Finalizado"/>
    <n v="17050"/>
    <n v="5545.59"/>
    <n v="11504.41"/>
    <n v="0.67474545454545454"/>
    <s v="✅ OK - Fechar Parceiro"/>
    <x v="0"/>
  </r>
  <r>
    <x v="56"/>
    <s v="contel-57"/>
    <x v="2"/>
    <s v="SANTAREM"/>
    <s v="PA"/>
    <s v="https://maps.app.goo.gl/s2G195KrffKjBL5D8"/>
    <n v="1804"/>
    <n v="16616"/>
    <s v="PEDRO"/>
    <n v="6060"/>
    <n v="2500"/>
    <n v="285.58999999999997"/>
    <s v="Projeto"/>
    <s v="Em andamento"/>
    <n v="21010"/>
    <n v="8845.59"/>
    <n v="12164.41"/>
    <n v="0.57898191337458349"/>
    <s v="✅ OK - Fechar Parceiro"/>
    <x v="1"/>
  </r>
  <r>
    <x v="57"/>
    <s v="contel-58"/>
    <x v="2"/>
    <s v="VIANA"/>
    <s v="MA"/>
    <s v="https://maps.app.goo.gl/b436xVT5jq5BGn767"/>
    <n v="1802"/>
    <n v="16617"/>
    <s v="PEDRO"/>
    <n v="5760"/>
    <n v="4500"/>
    <n v="285.58999999999997"/>
    <s v="Finalizado"/>
    <s v="Finalizado"/>
    <n v="21010"/>
    <n v="10545.59"/>
    <n v="10464.41"/>
    <n v="0.4980680628272251"/>
    <s v="✅ OK - Fechar Parceiro"/>
    <x v="0"/>
  </r>
  <r>
    <x v="58"/>
    <s v="contel-59"/>
    <x v="7"/>
    <s v="OSASCO"/>
    <s v="SP"/>
    <s v="https://maps.app.goo.gl/WaGrFBd7bzCFcKf59"/>
    <n v="1801"/>
    <n v="16620"/>
    <s v="DANILO"/>
    <n v="24500"/>
    <n v="0"/>
    <n v="285.58999999999997"/>
    <s v="Finalizado"/>
    <s v="Finalizado"/>
    <n v="62994.5"/>
    <n v="24785.59"/>
    <n v="38208.910000000003"/>
    <n v="0.60654358713855983"/>
    <s v="✅ OK - Fechar Parceiro"/>
    <x v="0"/>
  </r>
  <r>
    <x v="59"/>
    <s v="contel-60"/>
    <x v="1"/>
    <s v="CUIABÁ"/>
    <s v="MT"/>
    <s v="https://maps.app.goo.gl/2A2y88uHnsUmC5j8A"/>
    <n v="1714"/>
    <n v="16625"/>
    <s v="DANILO"/>
    <n v="3000"/>
    <n v="1190.5"/>
    <n v="2721.47"/>
    <s v="Finalizado"/>
    <s v="Finalizado"/>
    <n v="28395.24"/>
    <n v="6911.9699999999993"/>
    <n v="21483.270000000004"/>
    <n v="0.7565799760804981"/>
    <s v="✅ OK - Fechar Parceiro"/>
    <x v="0"/>
  </r>
  <r>
    <x v="60"/>
    <s v="contel-61"/>
    <x v="0"/>
    <s v="MANAUS"/>
    <s v="AM"/>
    <s v="https://maps.app.goo.gl/rdzBb461qeisgEP99"/>
    <n v="1805"/>
    <n v="16632"/>
    <s v="DANILO"/>
    <n v="12000"/>
    <n v="4163"/>
    <n v="0"/>
    <s v="Execução"/>
    <s v="Em andamento"/>
    <n v="43936.3"/>
    <n v="16163"/>
    <n v="27773.300000000003"/>
    <n v="0.63212651042532031"/>
    <s v="✅ OK - Fechar Parceiro"/>
    <x v="1"/>
  </r>
  <r>
    <x v="61"/>
    <s v="contel-62"/>
    <x v="0"/>
    <s v="SÃO LUIS DE MONTES BELOS"/>
    <s v="GO"/>
    <s v="https://maps.app.goo.gl/fvgLg9mCbFezteco6"/>
    <n v="1806"/>
    <n v="16638"/>
    <s v="DANILO"/>
    <n v="2000"/>
    <n v="1341.46"/>
    <n v="271.47000000000003"/>
    <s v="Finalizado"/>
    <s v="Finalizado"/>
    <n v="18823.75"/>
    <n v="3612.9300000000003"/>
    <n v="15210.82"/>
    <n v="0.80806534298426191"/>
    <s v="✅ OK - Fechar Parceiro"/>
    <x v="0"/>
  </r>
  <r>
    <x v="62"/>
    <s v="contel-63"/>
    <x v="0"/>
    <s v="SERRANO"/>
    <s v="MG"/>
    <s v="https://maps.app.goo.gl/MuvKaqKAWuaPWHwM9"/>
    <n v="1812"/>
    <n v="16668"/>
    <s v="DANIEL"/>
    <n v="2200"/>
    <n v="2378.6999999999998"/>
    <n v="178.03"/>
    <s v="Finalizado"/>
    <s v="Finalizado"/>
    <n v="12561.69"/>
    <n v="4756.7299999999996"/>
    <n v="7804.9600000000009"/>
    <n v="0.62133041015977952"/>
    <s v="✅ OK - Fechar Parceiro"/>
    <x v="0"/>
  </r>
  <r>
    <x v="63"/>
    <s v="contel-64"/>
    <x v="0"/>
    <s v="SALINOPOLIS"/>
    <s v="PA"/>
    <s v="https://maps.app.goo.gl/BWYmz2vR4KdRyDWcA"/>
    <n v="1813"/>
    <n v="16679"/>
    <s v="PEDRO"/>
    <n v="2800"/>
    <n v="0"/>
    <n v="0"/>
    <s v="Cancelada"/>
    <s v="Cancelada"/>
    <n v="199000"/>
    <n v="2800"/>
    <n v="196200"/>
    <n v="0.98592964824120599"/>
    <s v="✅ OK - Fechar Parceiro"/>
    <x v="4"/>
  </r>
  <r>
    <x v="64"/>
    <s v="contel-65"/>
    <x v="0"/>
    <s v="APARECIDA DE GOIÂNIA"/>
    <s v="GO"/>
    <s v="https://maps.app.goo.gl/PLBmjq1gyofNCB3K6"/>
    <n v="1823"/>
    <n v="16697"/>
    <s v="PEDRO"/>
    <n v="1800"/>
    <n v="2038"/>
    <n v="0"/>
    <s v="Execução"/>
    <s v="Em andamento"/>
    <n v="84836.43"/>
    <n v="3838"/>
    <n v="80998.429999999993"/>
    <n v="0.95476000109858461"/>
    <s v="✅ OK - Fechar Parceiro"/>
    <x v="1"/>
  </r>
  <r>
    <x v="65"/>
    <s v="contel-66"/>
    <x v="9"/>
    <s v="BRASILIA"/>
    <s v="DF"/>
    <s v="https://maps.app.goo.gl/s79H3VuwHxJV3wdH8"/>
    <n v="1814"/>
    <n v="16677"/>
    <s v="DANILO"/>
    <n v="0"/>
    <n v="0"/>
    <n v="57914.720000000001"/>
    <s v="Envio de material, Execução"/>
    <s v="Em andamento"/>
    <n v="177880"/>
    <n v="57914.720000000001"/>
    <n v="119965.28"/>
    <n v="0.67441691027659101"/>
    <s v="✅ OK - Fechar Parceiro"/>
    <x v="1"/>
  </r>
  <r>
    <x v="66"/>
    <s v="contel-67"/>
    <x v="2"/>
    <s v="SÃO LEOPOLDO"/>
    <s v="RS"/>
    <s v="https://maps.app.goo.gl/TCnhsWRGk3EG5AC88"/>
    <n v="1824"/>
    <n v="16691"/>
    <s v="DANIEL"/>
    <n v="20000"/>
    <n v="0"/>
    <n v="285.58999999999997"/>
    <s v="Finalizado"/>
    <s v="Finalizado"/>
    <n v="39700"/>
    <n v="20285.59"/>
    <n v="19414.41"/>
    <n v="0.48902795969773299"/>
    <s v="✅ OK - Fechar Parceiro"/>
    <x v="0"/>
  </r>
  <r>
    <x v="67"/>
    <s v="contel-68"/>
    <x v="2"/>
    <s v="BAURU"/>
    <s v="SP"/>
    <s v="https://maps.app.goo.gl/VQcpgukyfpgabmVW7"/>
    <n v="1818"/>
    <n v="16693"/>
    <s v="DANIEL"/>
    <n v="20000"/>
    <n v="0"/>
    <n v="3055.59"/>
    <s v="Finalizado"/>
    <s v="Finalizado"/>
    <n v="39700"/>
    <n v="23055.59"/>
    <n v="16644.41"/>
    <n v="0.41925465994962219"/>
    <s v="✅ OK - Fechar Parceiro"/>
    <x v="0"/>
  </r>
  <r>
    <x v="68"/>
    <s v="contel-69"/>
    <x v="2"/>
    <s v="NOVA ODESSA"/>
    <s v="SP"/>
    <s v="https://maps.app.goo.gl/iorvEXW9Cyo81yJUA"/>
    <n v="1826"/>
    <n v="16692"/>
    <s v="DANILO"/>
    <n v="22000"/>
    <n v="0"/>
    <n v="285.58999999999997"/>
    <s v="Finalizado"/>
    <s v="Finalizado"/>
    <n v="44580"/>
    <n v="22285.59"/>
    <n v="22294.41"/>
    <n v="0.50009892328398386"/>
    <s v="✅ OK - Fechar Parceiro"/>
    <x v="0"/>
  </r>
  <r>
    <x v="69"/>
    <s v="contel-70"/>
    <x v="2"/>
    <s v="JENIPAPO DOS VIEIRAS"/>
    <s v="MA"/>
    <s v="https://maps.app.goo.gl/ty9NBSW9B2sigVuAA"/>
    <n v="1825"/>
    <n v="16694"/>
    <s v="PEDRO"/>
    <n v="21000"/>
    <n v="0"/>
    <n v="285.58999999999997"/>
    <s v="Finalizado"/>
    <s v="Finalizado"/>
    <n v="45655"/>
    <n v="21285.59"/>
    <n v="24369.41"/>
    <n v="0.53377308071405105"/>
    <s v="✅ OK - Fechar Parceiro"/>
    <x v="0"/>
  </r>
  <r>
    <x v="70"/>
    <s v="contel-71"/>
    <x v="2"/>
    <s v="BOM JESUS DA SELVA"/>
    <s v="MA"/>
    <s v="https://maps.app.goo.gl/bDcNTBEr5Xe5AdQy5"/>
    <n v="1850"/>
    <n v="16717"/>
    <s v="PEDRO"/>
    <n v="5660"/>
    <n v="3600"/>
    <n v="385.59"/>
    <s v="Finalizado"/>
    <s v="Finalizado"/>
    <n v="22935"/>
    <n v="9645.59"/>
    <n v="13289.41"/>
    <n v="0.57943797689121435"/>
    <s v="✅ OK - Fechar Parceiro"/>
    <x v="0"/>
  </r>
  <r>
    <x v="71"/>
    <s v="contel-72"/>
    <x v="0"/>
    <s v="ARAÇATUBA"/>
    <s v="SP"/>
    <s v="https://maps.app.goo.gl/SqXXYWnpCJmNH51Z8"/>
    <n v="1860"/>
    <n v="26517"/>
    <s v="PEDRO"/>
    <n v="5000"/>
    <n v="6128.1"/>
    <n v="2865.29"/>
    <s v="Finalizado"/>
    <s v="Finalizado"/>
    <n v="22539.599999999999"/>
    <n v="13993.39"/>
    <n v="8546.2099999999991"/>
    <n v="0.37916422651688581"/>
    <s v="✅ OK - Fechar Parceiro"/>
    <x v="0"/>
  </r>
  <r>
    <x v="72"/>
    <s v="contel-73"/>
    <x v="2"/>
    <s v="CODÓ"/>
    <s v="MA"/>
    <s v="https://maps.app.goo.gl/q98g7tnRJuhjS8Ts6"/>
    <n v="1863"/>
    <n v="26520"/>
    <s v="DANIEL"/>
    <n v="13000"/>
    <n v="0"/>
    <n v="285.58999999999997"/>
    <s v="Finalizado"/>
    <s v="Finalizado"/>
    <n v="30500"/>
    <n v="13285.59"/>
    <n v="17214.41"/>
    <n v="0.56440688524590166"/>
    <s v="✅ OK - Fechar Parceiro"/>
    <x v="0"/>
  </r>
  <r>
    <x v="73"/>
    <s v="contel-74"/>
    <x v="2"/>
    <s v="NOVO GAMA"/>
    <s v="GO"/>
    <s v="https://maps.app.goo.gl/yiXwt45KJveJFabi9"/>
    <n v="1862"/>
    <n v="26529"/>
    <s v="DANILO"/>
    <n v="7300"/>
    <n v="11231.32"/>
    <n v="14579.53"/>
    <s v="Finalizado"/>
    <s v="Finalizado"/>
    <n v="70857.55"/>
    <n v="33110.85"/>
    <n v="37746.700000000004"/>
    <n v="0.53271246324491894"/>
    <s v="✅ OK - Fechar Parceiro"/>
    <x v="0"/>
  </r>
  <r>
    <x v="74"/>
    <s v="contel-75"/>
    <x v="0"/>
    <s v="SÃO LUIS"/>
    <s v="MA"/>
    <s v="https://maps.app.goo.gl/nTPTUtMwisLnkS5AA"/>
    <n v="1861"/>
    <n v="26532"/>
    <s v="PEDRO"/>
    <n v="3800"/>
    <n v="0"/>
    <n v="0"/>
    <s v="Projeto, Compra de material"/>
    <s v="Em andamento"/>
    <n v="159503.41"/>
    <n v="3800"/>
    <n v="155703.41"/>
    <n v="0.97617605792879292"/>
    <s v="✅ OK - Fechar Parceiro"/>
    <x v="2"/>
  </r>
  <r>
    <x v="75"/>
    <s v="contel-76"/>
    <x v="2"/>
    <s v="LAGOA DA CONFUSÃO"/>
    <s v="TO"/>
    <s v="https://maps.app.goo.gl/ceWk4HEAnhAWYT2V7"/>
    <n v="1852"/>
    <n v="20043"/>
    <s v="PEDRO"/>
    <n v="6500"/>
    <n v="414.3"/>
    <n v="3925.43"/>
    <s v="Finalizado"/>
    <s v="Finalizado"/>
    <n v="13364"/>
    <n v="10839.73"/>
    <n v="2524.2700000000004"/>
    <n v="0.18888581263094886"/>
    <s v="⚠️ Ajustar Custos (&lt;20%)"/>
    <x v="0"/>
  </r>
  <r>
    <x v="76"/>
    <s v="contel-77"/>
    <x v="1"/>
    <s v="ANADIA"/>
    <s v="AL"/>
    <s v="https://maps.app.goo.gl/5qQGn2GhMXHUvan37"/>
    <n v="1702"/>
    <n v="13494"/>
    <s v="DANILO"/>
    <n v="19600"/>
    <n v="17213.189999999999"/>
    <n v="0"/>
    <s v="Finalizado"/>
    <s v="Finalizado"/>
    <n v="149672.76"/>
    <n v="36813.19"/>
    <n v="112859.57"/>
    <n v="0.75404215169146338"/>
    <s v="✅ OK - Fechar Parceiro"/>
    <x v="0"/>
  </r>
  <r>
    <x v="77"/>
    <s v="contel-78"/>
    <x v="10"/>
    <s v="SÃO PAULO"/>
    <s v="SP"/>
    <s v="https://maps.app.goo.gl/XYoUxAxVbAvQ13Rt9"/>
    <n v="1870"/>
    <n v="26566"/>
    <s v="DANIEL"/>
    <n v="2600"/>
    <n v="0"/>
    <n v="0"/>
    <s v="Finalizado"/>
    <s v="Finalizado"/>
    <n v="10000"/>
    <n v="2600"/>
    <n v="7400"/>
    <n v="0.74"/>
    <s v="✅ OK - Fechar Parceiro"/>
    <x v="0"/>
  </r>
  <r>
    <x v="78"/>
    <s v="contel-79"/>
    <x v="2"/>
    <s v="BRASILIA"/>
    <s v="DF"/>
    <s v="https://maps.app.goo.gl/BzDRnLZ8NEL9Tz6o8"/>
    <n v="1873"/>
    <n v="26595"/>
    <s v="DANILO"/>
    <n v="15000"/>
    <n v="8358.42"/>
    <n v="0"/>
    <s v="Paralisada"/>
    <s v="Paralisada"/>
    <n v="111450.33"/>
    <n v="23358.42"/>
    <n v="88091.91"/>
    <n v="0.79041407952762455"/>
    <s v="✅ OK - Fechar Parceiro"/>
    <x v="3"/>
  </r>
  <r>
    <x v="79"/>
    <s v="contel-80"/>
    <x v="2"/>
    <s v="PORTO MURTINHO"/>
    <s v="MS"/>
    <s v="https://maps.app.goo.gl/3q7zmUF366FEVdmq8"/>
    <n v="1877"/>
    <n v="26622"/>
    <s v="PEDRO"/>
    <n v="5460"/>
    <n v="0"/>
    <n v="0"/>
    <s v="Projeto"/>
    <s v="Em andamento"/>
    <n v="16547.5"/>
    <n v="5460"/>
    <n v="11087.5"/>
    <n v="0.67004079166037167"/>
    <s v="✅ OK - Fechar Parceiro"/>
    <x v="2"/>
  </r>
  <r>
    <x v="80"/>
    <s v="contel-81"/>
    <x v="2"/>
    <s v="VIGIA"/>
    <s v="PA"/>
    <s v="https://maps.app.goo.gl/BogBqZ2i1MjVR37g7"/>
    <n v="1876"/>
    <n v="26623"/>
    <s v="PEDRO"/>
    <n v="5360"/>
    <n v="5000"/>
    <n v="0"/>
    <s v="Projeto"/>
    <s v="Em andamento"/>
    <n v="22493.25"/>
    <n v="10360"/>
    <n v="12133.25"/>
    <n v="0.53941738076978651"/>
    <s v="✅ OK - Fechar Parceiro"/>
    <x v="2"/>
  </r>
  <r>
    <x v="81"/>
    <s v="contel-82"/>
    <x v="2"/>
    <s v="CASTANHEIRA"/>
    <s v="MT"/>
    <s v="https://maps.app.goo.gl/8et7BvHnuTg9TZ9q7"/>
    <n v="1875"/>
    <n v="26624"/>
    <s v="PEDRO"/>
    <n v="6460"/>
    <n v="7800"/>
    <n v="0"/>
    <s v="Projeto"/>
    <s v="Em andamento"/>
    <n v="22570"/>
    <n v="14260"/>
    <n v="8310"/>
    <n v="0.36818785999113868"/>
    <s v="✅ OK - Fechar Parceiro"/>
    <x v="2"/>
  </r>
  <r>
    <x v="82"/>
    <s v="contel-83"/>
    <x v="0"/>
    <s v="SÃO LUIS DE MONTES BELOS"/>
    <s v="GO"/>
    <s v="https://maps.app.goo.gl/PiSDc62WdKBprhCd6"/>
    <n v="1880"/>
    <n v="26656"/>
    <s v="DANILO"/>
    <n v="11000"/>
    <n v="13897.5"/>
    <n v="6211.48"/>
    <s v="Finalizado"/>
    <s v="Finalizado"/>
    <n v="75900"/>
    <n v="31108.98"/>
    <n v="44791.020000000004"/>
    <n v="0.59013201581027674"/>
    <s v="✅ OK - Fechar Parceiro"/>
    <x v="0"/>
  </r>
  <r>
    <x v="83"/>
    <s v="contel-84"/>
    <x v="0"/>
    <s v="VISTA ALEGRE"/>
    <s v="PA"/>
    <s v="https://maps.app.goo.gl/pbfXPaW1m1mJiUYV6"/>
    <n v="1891"/>
    <n v="26739"/>
    <s v="HENRIQUE"/>
    <n v="4000"/>
    <n v="0"/>
    <n v="0"/>
    <s v="Finalizado"/>
    <s v="Finalizado"/>
    <n v="9116.2000000000007"/>
    <n v="4000"/>
    <n v="5116.2000000000007"/>
    <n v="0.56122068405695358"/>
    <s v="✅ OK - Fechar Parceiro"/>
    <x v="0"/>
  </r>
  <r>
    <x v="84"/>
    <s v="contel-85"/>
    <x v="0"/>
    <s v="CAMPINAS"/>
    <s v="SP"/>
    <s v="https://maps.app.goo.gl/C6xeHqqi5QAHUqMh9"/>
    <n v="1889"/>
    <n v="26733"/>
    <s v="PEDRO"/>
    <n v="2000"/>
    <n v="0"/>
    <n v="0"/>
    <s v="Projeto"/>
    <s v="Em andamento"/>
    <n v="4500"/>
    <n v="2000"/>
    <n v="2500"/>
    <n v="0.55555555555555558"/>
    <s v="✅ OK - Fechar Parceiro"/>
    <x v="1"/>
  </r>
  <r>
    <x v="85"/>
    <s v="contel-86"/>
    <x v="0"/>
    <s v="FATIMA DO SUL"/>
    <s v="MS"/>
    <s v="https://maps.app.goo.gl/LeLHiaCFDCHj1hyR9"/>
    <n v="1890"/>
    <n v="26741"/>
    <s v="DANIEL"/>
    <n v="7000"/>
    <n v="0"/>
    <n v="0"/>
    <s v="Finalizado"/>
    <s v="Finalizado"/>
    <n v="26655.1"/>
    <n v="7000"/>
    <n v="19655.099999999999"/>
    <n v="0.73738609121706544"/>
    <s v="✅ OK - Fechar Parceiro"/>
    <x v="0"/>
  </r>
  <r>
    <x v="86"/>
    <s v="contel-87"/>
    <x v="11"/>
    <s v="SAO SEBASTIÃO"/>
    <s v="SP"/>
    <s v="https://maps.app.goo.gl/skXcFZfpsuNDrEDg9"/>
    <n v="1883"/>
    <n v="26727"/>
    <s v="ALAN"/>
    <n v="0"/>
    <n v="102.82"/>
    <n v="0"/>
    <s v="Homologação"/>
    <s v="Em andamento"/>
    <n v="113876.39"/>
    <n v="102.82"/>
    <n v="113773.56999999999"/>
    <n v="0.99909709115295975"/>
    <s v="✅ OK - Fechar Parceiro"/>
    <x v="2"/>
  </r>
  <r>
    <x v="87"/>
    <s v="contel-88"/>
    <x v="11"/>
    <s v="SAO SEBASTIÃO"/>
    <s v="SP"/>
    <s v="https://maps.app.goo.gl/skXcFZfpsuNDrEDg10"/>
    <n v="1884"/>
    <n v="26728"/>
    <s v="ALAN"/>
    <n v="0"/>
    <n v="0"/>
    <n v="0"/>
    <s v="Homologação"/>
    <s v="Em andamento"/>
    <n v="474497.03"/>
    <n v="0"/>
    <n v="474497.03"/>
    <n v="1"/>
    <s v="✅ OK - Fechar Parceiro"/>
    <x v="2"/>
  </r>
  <r>
    <x v="88"/>
    <s v="contel-89"/>
    <x v="11"/>
    <s v="SAO SEBASTIÃO"/>
    <s v="SP"/>
    <s v="https://maps.app.goo.gl/skXcFZfpsuNDrEDg11"/>
    <n v="1885"/>
    <n v="26729"/>
    <s v="ALAN"/>
    <n v="0"/>
    <n v="0"/>
    <n v="0"/>
    <s v="Homologação"/>
    <s v="Em andamento"/>
    <n v="493432.89"/>
    <n v="0"/>
    <n v="493432.89"/>
    <n v="1"/>
    <s v="✅ OK - Fechar Parceiro"/>
    <x v="2"/>
  </r>
  <r>
    <x v="89"/>
    <s v="contel-90"/>
    <x v="11"/>
    <s v="SANTOS"/>
    <s v="SP"/>
    <s v="https://maps.app.goo.gl/q5ZDKuK8me88bxCP8"/>
    <n v="1886"/>
    <n v="26730"/>
    <s v="ALAN"/>
    <n v="0"/>
    <n v="0"/>
    <n v="0"/>
    <s v="Homologação"/>
    <s v="Em andamento"/>
    <n v="493432.89"/>
    <n v="0"/>
    <n v="493432.89"/>
    <n v="1"/>
    <s v="✅ OK - Fechar Parceiro"/>
    <x v="2"/>
  </r>
  <r>
    <x v="90"/>
    <s v="contel-91"/>
    <x v="11"/>
    <s v="GUARATUBA"/>
    <s v="SP"/>
    <s v="https://maps.app.goo.gl/rPjaibvp1eNUBsj9A"/>
    <n v="1899"/>
    <n v="27045"/>
    <s v="ALAN"/>
    <n v="0"/>
    <n v="0"/>
    <n v="0"/>
    <s v="Homologação"/>
    <s v="Em andamento"/>
    <n v="759142.72"/>
    <n v="0"/>
    <n v="759142.72"/>
    <n v="1"/>
    <s v="✅ OK - Fechar Parceiro"/>
    <x v="2"/>
  </r>
  <r>
    <x v="91"/>
    <s v="contel-92"/>
    <x v="11"/>
    <s v="GUARATUBA"/>
    <s v="SP"/>
    <s v="https://maps.app.goo.gl/6XSB4fW184dzH5vx9"/>
    <n v="1900"/>
    <n v="27044"/>
    <s v="ALAN"/>
    <n v="0"/>
    <n v="0"/>
    <n v="0"/>
    <s v="Homologação"/>
    <s v="Em andamento"/>
    <n v="1022953.53"/>
    <n v="0"/>
    <n v="1022953.53"/>
    <n v="1"/>
    <s v="✅ OK - Fechar Parceiro"/>
    <x v="2"/>
  </r>
  <r>
    <x v="92"/>
    <s v="contel-93"/>
    <x v="5"/>
    <s v="CAMPO GRANDE"/>
    <s v="MS"/>
    <s v="https://maps.app.goo.gl/6XSB4fW184dzH5vx9"/>
    <n v="1727"/>
    <n v="15827"/>
    <s v="MAURICIO"/>
    <n v="3000"/>
    <n v="4508.62"/>
    <n v="0"/>
    <s v="Envio RFI "/>
    <s v="Em andamento"/>
    <n v="22988.16"/>
    <n v="7508.62"/>
    <n v="15479.54"/>
    <n v="0.67337011748656705"/>
    <s v="✅ OK - Fechar Parceiro"/>
    <x v="1"/>
  </r>
  <r>
    <x v="93"/>
    <s v="contel-94"/>
    <x v="5"/>
    <s v="CUIABÁ"/>
    <s v="MT"/>
    <s v="https://maps.app.goo.gl/vTW4AG4iCWDnq6Q46"/>
    <n v="1758"/>
    <n v="15938"/>
    <s v="MAURICIO"/>
    <n v="3500"/>
    <n v="3473.75"/>
    <n v="0"/>
    <s v="Cancelada"/>
    <s v="Cancelada"/>
    <n v="19576.939999999999"/>
    <n v="6973.75"/>
    <n v="12603.189999999999"/>
    <n v="0.64377732168561586"/>
    <s v="✅ OK - Fechar Parceiro"/>
    <x v="4"/>
  </r>
  <r>
    <x v="94"/>
    <s v="contel-95"/>
    <x v="5"/>
    <s v="MARATAÍZES"/>
    <s v="ES"/>
    <s v="https://maps.app.goo.gl/ZUd4D9m16p8Q8mYC9"/>
    <n v="1847"/>
    <n v="4039"/>
    <s v="DANIEL"/>
    <n v="12200"/>
    <n v="1047.74"/>
    <n v="0"/>
    <s v="Finalizado"/>
    <s v="Finalizado"/>
    <n v="30819"/>
    <n v="13247.74"/>
    <n v="17571.260000000002"/>
    <n v="0.57014374249651201"/>
    <s v="✅ OK - Fechar Parceiro"/>
    <x v="0"/>
  </r>
  <r>
    <x v="95"/>
    <s v="contel-96"/>
    <x v="5"/>
    <s v="SÃO MATEUS"/>
    <s v="ES"/>
    <s v="https://maps.app.goo.gl/E6LGEWiaZjQdRWB16"/>
    <n v="1763"/>
    <n v="4020"/>
    <s v="MAURICIO"/>
    <n v="2100"/>
    <n v="3387.72"/>
    <n v="1116.68"/>
    <s v="Finalizado"/>
    <s v="Finalizado"/>
    <n v="11029.54"/>
    <n v="6604.4"/>
    <n v="4425.1400000000012"/>
    <n v="0.40120802862132066"/>
    <s v="✅ OK - Fechar Parceiro"/>
    <x v="0"/>
  </r>
  <r>
    <x v="96"/>
    <s v="contel-97"/>
    <x v="5"/>
    <s v="RIO DE JANEIRO "/>
    <s v="RJ"/>
    <s v="https://maps.app.goo.gl/Dz9ty2nk4qyTtuXL6"/>
    <n v="1849"/>
    <n v="3783"/>
    <s v="PEDRO"/>
    <n v="22878.3"/>
    <n v="13525.22"/>
    <n v="0"/>
    <s v="Fabricação / Galvanização, Envio de material, Execução"/>
    <s v="Em andamento"/>
    <n v="92771.88"/>
    <n v="36403.519999999997"/>
    <n v="56368.360000000008"/>
    <n v="0.60760178623091399"/>
    <s v="✅ OK - Fechar Parceiro"/>
    <x v="1"/>
  </r>
  <r>
    <x v="97"/>
    <s v="contel-98"/>
    <x v="5"/>
    <s v="CARANDAÍ"/>
    <s v="MG"/>
    <s v="https://maps.app.goo.gl/nb5xXfmqkHqRJ9x99"/>
    <n v="1768"/>
    <n v="3968"/>
    <s v="MAURICIO"/>
    <n v="11500"/>
    <n v="0"/>
    <n v="0"/>
    <s v="Compra de material, Fabricação / Galvanização"/>
    <s v="Em andamento"/>
    <n v="69869.72"/>
    <n v="11500"/>
    <n v="58369.72"/>
    <n v="0.83540795640801191"/>
    <s v="✅ OK - Fechar Parceiro"/>
    <x v="2"/>
  </r>
  <r>
    <x v="98"/>
    <s v="contel-99"/>
    <x v="5"/>
    <s v="RIO DE JANEIRO"/>
    <s v="RJ"/>
    <s v="https://maps.app.goo.gl/paxKVQ3uTVjUuZXT9"/>
    <n v="1716"/>
    <n v="3036"/>
    <s v="PEDRO"/>
    <n v="14600"/>
    <n v="6860.08"/>
    <n v="0"/>
    <s v="Execução"/>
    <s v="Em andamento"/>
    <n v="42740.86"/>
    <n v="21460.080000000002"/>
    <n v="21280.78"/>
    <n v="0.49790247552342182"/>
    <s v="✅ OK - Fechar Parceiro"/>
    <x v="1"/>
  </r>
  <r>
    <x v="99"/>
    <s v="contel-100"/>
    <x v="0"/>
    <s v="RIO DE JANEIRO"/>
    <s v="RJ"/>
    <s v="https://maps.app.goo.gl/fPDjWpcieomXrtqV7"/>
    <n v="1668"/>
    <n v="4035"/>
    <s v="DANILO"/>
    <n v="9500"/>
    <n v="14344.11"/>
    <n v="0"/>
    <s v="Execução"/>
    <s v="Em andamento"/>
    <n v="93000"/>
    <n v="23844.11"/>
    <n v="69155.89"/>
    <n v="0.74361172043010748"/>
    <s v="✅ OK - Fechar Parceiro"/>
    <x v="1"/>
  </r>
  <r>
    <x v="100"/>
    <s v="contel-101"/>
    <x v="0"/>
    <s v="PALMAS"/>
    <s v="TO"/>
    <s v="https://maps.app.goo.gl/Q1cVifwYda8A19Cw8"/>
    <n v="1894"/>
    <n v="26781"/>
    <s v="DANIEL"/>
    <n v="6000"/>
    <n v="4472.68"/>
    <n v="0"/>
    <s v="Finalizado"/>
    <s v="Finalizado"/>
    <n v="21751.17"/>
    <n v="10472.68"/>
    <n v="11278.489999999998"/>
    <n v="0.51852337138645865"/>
    <s v="✅ OK - Fechar Parceiro"/>
    <x v="0"/>
  </r>
  <r>
    <x v="101"/>
    <s v="contel-102"/>
    <x v="5"/>
    <s v="BRASILIA"/>
    <s v="DF"/>
    <s v="https://maps.app.goo.gl/aNkMjJxTvSM98HRW8"/>
    <n v="1902"/>
    <n v="26900"/>
    <s v="DANIEL"/>
    <n v="400"/>
    <n v="0"/>
    <n v="0"/>
    <s v="Survey"/>
    <s v="Em andamento"/>
    <m/>
    <n v="400"/>
    <n v="-400"/>
    <n v="0"/>
    <s v="⚠️ Ajustar Custos (&lt;20%)"/>
    <x v="2"/>
  </r>
  <r>
    <x v="102"/>
    <s v="contel-103"/>
    <x v="5"/>
    <s v="PASSOS"/>
    <s v="MG"/>
    <s v="https://maps.app.goo.gl/QFL6EzGr6PcDXbFx8"/>
    <n v="1903"/>
    <n v="26905"/>
    <s v="MAURICIO"/>
    <n v="800"/>
    <n v="0"/>
    <n v="0"/>
    <s v="Survey"/>
    <s v="Em andamento"/>
    <m/>
    <n v="800"/>
    <n v="-800"/>
    <n v="0"/>
    <s v="⚠️ Ajustar Custos (&lt;20%)"/>
    <x v="2"/>
  </r>
  <r>
    <x v="103"/>
    <s v="contel-104"/>
    <x v="5"/>
    <s v="SANTA BÁRBARA "/>
    <s v="MG"/>
    <s v="https://maps.app.goo.gl/YNNEgmN8eAfRSHV77"/>
    <n v="1888"/>
    <n v="3527"/>
    <s v="MAURICIO"/>
    <n v="300"/>
    <n v="0"/>
    <n v="0"/>
    <s v="Survey"/>
    <s v="Em andamento"/>
    <m/>
    <n v="300"/>
    <n v="-300"/>
    <n v="0"/>
    <s v="⚠️ Ajustar Custos (&lt;20%)"/>
    <x v="1"/>
  </r>
  <r>
    <x v="104"/>
    <s v="contel-105"/>
    <x v="5"/>
    <s v="GOIÂNIA"/>
    <s v="GO"/>
    <s v="https://maps.app.goo.gl/Cxy5WuL4hxQrf8Qj7"/>
    <n v="1909"/>
    <n v="26967"/>
    <s v="HENRIQUE"/>
    <n v="250"/>
    <n v="0"/>
    <n v="0"/>
    <s v="Finalizado"/>
    <s v="Finalizado"/>
    <n v="0"/>
    <n v="250"/>
    <n v="-250"/>
    <n v="0"/>
    <s v="⚠️ Ajustar Custos (&lt;20%)"/>
    <x v="0"/>
  </r>
  <r>
    <x v="105"/>
    <s v="contel-106"/>
    <x v="2"/>
    <s v="CAMAPUÃ"/>
    <s v="MS"/>
    <s v="https://maps.app.goo.gl/WgFEVFoLc8BrDTgZA"/>
    <n v="399"/>
    <n v="26973"/>
    <s v="PEDRO"/>
    <n v="0"/>
    <n v="0"/>
    <n v="0"/>
    <s v="Finalizado"/>
    <s v="Finalizado"/>
    <n v="2859.5"/>
    <n v="0"/>
    <n v="2859.5"/>
    <n v="1"/>
    <s v="✅ OK - Fechar Parceiro"/>
    <x v="0"/>
  </r>
  <r>
    <x v="106"/>
    <s v="contel-107"/>
    <x v="5"/>
    <s v="SAQUAREMA"/>
    <s v="RJ"/>
    <s v="https://maps.app.goo.gl/ZDsuUpGQdxx87K1j6"/>
    <n v="1746"/>
    <n v="16004"/>
    <s v="MAURICIO"/>
    <n v="19200"/>
    <n v="0"/>
    <n v="0"/>
    <s v="Compra de material, Fabricação / Galvanização"/>
    <s v="Em andamento"/>
    <n v="89701.43"/>
    <n v="19200"/>
    <n v="70501.429999999993"/>
    <n v="0.78595658954377867"/>
    <s v="✅ OK - Fechar Parceiro"/>
    <x v="2"/>
  </r>
  <r>
    <x v="107"/>
    <s v="contel-108"/>
    <x v="5"/>
    <s v="BRASILIA"/>
    <s v="DF"/>
    <s v="https://maps.app.goo.gl/TsyuDNZuxTrGCY637"/>
    <n v="1808"/>
    <n v="26979"/>
    <s v="MAURICIO"/>
    <n v="7800"/>
    <n v="0"/>
    <n v="0"/>
    <s v="Compra de material, Fabricação / Galvanização"/>
    <s v="Em andamento"/>
    <n v="76767.45"/>
    <n v="7800"/>
    <n v="68967.45"/>
    <n v="0.89839443670461894"/>
    <s v="✅ OK - Fechar Parceiro"/>
    <x v="2"/>
  </r>
  <r>
    <x v="108"/>
    <s v="contel-109"/>
    <x v="5"/>
    <s v="CABO FRIO"/>
    <s v="RJ"/>
    <s v="https://maps.app.goo.gl/pb5T8W7y5oLpvynD6"/>
    <n v="1717"/>
    <n v="3807"/>
    <s v="MAURICIO"/>
    <n v="0"/>
    <n v="0"/>
    <n v="0"/>
    <s v="Abertura de obra, Elaboração de cronograma, Compra de material, Fabricação / Galvanização"/>
    <s v="Em andamento"/>
    <n v="113474.59"/>
    <n v="0"/>
    <n v="113474.59"/>
    <n v="1"/>
    <s v="✅ OK - Fechar Parceiro"/>
    <x v="2"/>
  </r>
  <r>
    <x v="109"/>
    <s v="contel-110"/>
    <x v="5"/>
    <s v="CABO FRIO "/>
    <s v="RJ"/>
    <s v="https://maps.app.goo.gl/9ycX6BAwSopjENXA8"/>
    <n v="1914"/>
    <n v="3808"/>
    <s v="MAURICIO"/>
    <n v="11500"/>
    <n v="0"/>
    <n v="0"/>
    <s v="Execução"/>
    <s v="Em andamento"/>
    <n v="24196.77"/>
    <n v="11500"/>
    <n v="12696.77"/>
    <n v="0.5247299536260418"/>
    <s v="✅ OK - Fechar Parceiro"/>
    <x v="2"/>
  </r>
  <r>
    <x v="110"/>
    <s v="contel-111"/>
    <x v="5"/>
    <s v="CABO FRIO"/>
    <s v="RJ"/>
    <s v="https://maps.app.goo.gl/vcfrt9gKLf1AbHY87"/>
    <n v="1816"/>
    <n v="3802"/>
    <s v="MAURICIO"/>
    <n v="0"/>
    <n v="0"/>
    <n v="0"/>
    <s v="Elaboração de cronograma, Survey"/>
    <s v="Em andamento"/>
    <n v="9444.06"/>
    <n v="0"/>
    <n v="9444.06"/>
    <n v="1"/>
    <s v="✅ OK - Fechar Parceiro"/>
    <x v="2"/>
  </r>
  <r>
    <x v="111"/>
    <s v="contel-112"/>
    <x v="5"/>
    <s v="VILA VELHA"/>
    <s v="ES"/>
    <s v="https://maps.app.goo.gl/v9UgZk4G1VHo75Pu8"/>
    <n v="1760"/>
    <n v="10941"/>
    <s v="MAURICIO"/>
    <n v="0"/>
    <n v="0"/>
    <n v="0"/>
    <s v="Elaboração de cronograma"/>
    <s v="Em andamento"/>
    <n v="24415.95"/>
    <n v="0"/>
    <n v="24415.95"/>
    <n v="1"/>
    <s v="✅ OK - Fechar Parceiro"/>
    <x v="2"/>
  </r>
  <r>
    <x v="112"/>
    <s v="contel-113"/>
    <x v="5"/>
    <s v="MUNIZ DE FREIRE"/>
    <s v="ES"/>
    <s v="https://maps.app.goo.gl/qsQaptv1wGNZRp687"/>
    <n v="1776"/>
    <n v="16113"/>
    <s v="DANILO"/>
    <n v="3000"/>
    <n v="0"/>
    <n v="0"/>
    <s v="Elaboração de cronograma, Compra de material, Envio de material"/>
    <s v="Em andamento"/>
    <n v="8908.7800000000007"/>
    <n v="3000"/>
    <n v="5908.7800000000007"/>
    <n v="0.66325355435873379"/>
    <s v="✅ OK - Fechar Parceiro"/>
    <x v="1"/>
  </r>
  <r>
    <x v="113"/>
    <s v="contel-114"/>
    <x v="5"/>
    <s v="CARIACICA"/>
    <s v="ES"/>
    <s v="https://maps.app.goo.gl/Z9GNmgnqWeg3fJbcA"/>
    <n v="1817"/>
    <n v="16598"/>
    <s v="MAURICIO"/>
    <n v="0"/>
    <n v="0"/>
    <n v="0"/>
    <s v="Elaboração de cronograma"/>
    <s v="Em andamento"/>
    <n v="19917.16"/>
    <n v="0"/>
    <n v="19917.16"/>
    <n v="1"/>
    <s v="✅ OK - Fechar Parceiro"/>
    <x v="2"/>
  </r>
  <r>
    <x v="114"/>
    <s v="contel-115"/>
    <x v="5"/>
    <s v="ARACRUZ"/>
    <s v="ES"/>
    <s v="https://maps.app.goo.gl/Lq5ZYM9byE52fhZGA"/>
    <n v="1759"/>
    <n v="27215"/>
    <s v="MAURICIO"/>
    <n v="3500"/>
    <n v="0"/>
    <n v="0"/>
    <s v="Abertura de obra, Elaboração de cronograma, Compra de material, Fabricação / Galvanização, Envio de material"/>
    <s v="Em andamento"/>
    <n v="10355.049999999999"/>
    <n v="3500"/>
    <n v="6855.0499999999993"/>
    <n v="0.66200066634154342"/>
    <s v="✅ OK - Fechar Parceiro"/>
    <x v="2"/>
  </r>
  <r>
    <x v="115"/>
    <s v="contel-116"/>
    <x v="5"/>
    <s v="CABO FRIO "/>
    <s v="RJ"/>
    <s v="https://maps.app.goo.gl/x1ypXbqe8iuyDWMg6"/>
    <n v="1718"/>
    <n v="3806"/>
    <s v="MAURICIO"/>
    <n v="0"/>
    <n v="0"/>
    <n v="0"/>
    <s v="Elaboração de cronograma"/>
    <s v="Em andamento"/>
    <n v="57027.35"/>
    <n v="0"/>
    <n v="57027.35"/>
    <n v="1"/>
    <s v="✅ OK - Fechar Parceiro"/>
    <x v="2"/>
  </r>
  <r>
    <x v="116"/>
    <s v="contel-117"/>
    <x v="5"/>
    <s v="ITUETA"/>
    <s v="MG"/>
    <s v="https://maps.app.goo.gl/5te1bUJri7MBDYNw6"/>
    <n v="1780"/>
    <n v="16196"/>
    <s v="MAURICIO"/>
    <n v="13000"/>
    <n v="0"/>
    <n v="0"/>
    <s v="Elaboração de cronograma, Execução"/>
    <s v="Em andamento"/>
    <n v="23690.51"/>
    <n v="13000"/>
    <n v="10690.509999999998"/>
    <n v="0.45125706453765663"/>
    <s v="✅ OK - Fechar Parceiro"/>
    <x v="2"/>
  </r>
  <r>
    <x v="117"/>
    <s v="contel-118"/>
    <x v="5"/>
    <s v="FUNDÃO"/>
    <s v="ES"/>
    <s v="https://maps.app.goo.gl/iAWYqPj3GvkPwJiY8"/>
    <n v="1775"/>
    <n v="16112"/>
    <s v="MAURICIO"/>
    <n v="0"/>
    <n v="0"/>
    <n v="0"/>
    <s v="Elaboração de cronograma"/>
    <s v="Em andamento"/>
    <n v="12221.4"/>
    <n v="0"/>
    <n v="12221.4"/>
    <n v="1"/>
    <s v="✅ OK - Fechar Parceiro"/>
    <x v="2"/>
  </r>
  <r>
    <x v="118"/>
    <s v="contel-119"/>
    <x v="5"/>
    <s v="CURVELO"/>
    <s v="MG"/>
    <s v="https://maps.app.goo.gl/ZDBPEhcqDvvbH4qP7"/>
    <n v="1767"/>
    <n v="3983"/>
    <s v="MAURICIO"/>
    <n v="0"/>
    <n v="0"/>
    <n v="0"/>
    <s v="Survey"/>
    <s v="Em andamento"/>
    <n v="25490.66"/>
    <n v="0"/>
    <n v="25490.66"/>
    <n v="1"/>
    <s v="✅ OK - Fechar Parceiro"/>
    <x v="2"/>
  </r>
  <r>
    <x v="119"/>
    <s v="contel-120"/>
    <x v="1"/>
    <s v="SÃO FRANCISCO DE ITABAPOANA"/>
    <s v="RJ"/>
    <s v="https://maps.app.goo.gl/HUHXqFR3XdHpM1jG9"/>
    <n v="1910"/>
    <n v="27037"/>
    <s v="PEDRO"/>
    <n v="22000"/>
    <n v="0"/>
    <n v="0"/>
    <s v="Fabricação / Galvanização"/>
    <s v="Em andamento"/>
    <n v="150672.13"/>
    <n v="22000"/>
    <n v="128672.13"/>
    <n v="0.85398759544980218"/>
    <s v="✅ OK - Fechar Parceiro"/>
    <x v="2"/>
  </r>
  <r>
    <x v="120"/>
    <s v="contel-121"/>
    <x v="12"/>
    <s v="RIBEIRÃO"/>
    <s v="PE"/>
    <s v="https://maps.app.goo.gl/c3nmacL3eJ36qKWX9"/>
    <n v="1904"/>
    <n v="26950"/>
    <s v="HENRIQUE"/>
    <n v="0"/>
    <n v="0"/>
    <n v="0"/>
    <s v="Homologação"/>
    <s v="Em andamento"/>
    <n v="5120"/>
    <n v="0"/>
    <n v="5120"/>
    <n v="1"/>
    <s v="✅ OK - Fechar Parceiro"/>
    <x v="3"/>
  </r>
  <r>
    <x v="121"/>
    <s v="contel-122"/>
    <x v="12"/>
    <s v="CABO DE SANTO AGOSTINHO"/>
    <s v="PE"/>
    <s v="https://maps.app.goo.gl/nr2kk8P5wJ43iKH87"/>
    <n v="1904"/>
    <n v="26949"/>
    <s v="HENRIQUE"/>
    <n v="0"/>
    <n v="0"/>
    <n v="0"/>
    <s v="Homologação"/>
    <s v="Em andamento"/>
    <n v="5120"/>
    <n v="0"/>
    <n v="5120"/>
    <n v="1"/>
    <s v="✅ OK - Fechar Parceiro"/>
    <x v="3"/>
  </r>
  <r>
    <x v="122"/>
    <s v="contel-123"/>
    <x v="12"/>
    <s v="GUARATINGA"/>
    <s v="BA"/>
    <s v="https://maps.app.goo.gl/NcL4H7T97LpCRgtRA"/>
    <n v="1906"/>
    <n v="26948"/>
    <s v="HENRIQUE"/>
    <n v="0"/>
    <n v="0"/>
    <n v="0"/>
    <s v="Homologação"/>
    <s v="Em andamento"/>
    <n v="5120"/>
    <n v="0"/>
    <n v="5120"/>
    <n v="1"/>
    <s v="✅ OK - Fechar Parceiro"/>
    <x v="3"/>
  </r>
  <r>
    <x v="123"/>
    <s v="contel-124"/>
    <x v="12"/>
    <s v="CORAÇÃO DE MARIA"/>
    <s v="BA"/>
    <s v="https://maps.app.goo.gl/ivPbjkanNtXwF6ad9"/>
    <n v="1906"/>
    <n v="26947"/>
    <s v="HENRIQUE"/>
    <n v="0"/>
    <n v="0"/>
    <n v="0"/>
    <s v="Homologação"/>
    <s v="Em andamento"/>
    <n v="5120"/>
    <n v="0"/>
    <n v="5120"/>
    <n v="1"/>
    <s v="✅ OK - Fechar Parceiro"/>
    <x v="3"/>
  </r>
  <r>
    <x v="124"/>
    <s v="contel-125"/>
    <x v="12"/>
    <s v="SANTO ESTEVÃO"/>
    <s v="BA"/>
    <s v="https://maps.app.goo.gl/4k3BNvVq8GPdWTfv5"/>
    <n v="1906"/>
    <n v="26946"/>
    <s v="HENRIQUE"/>
    <n v="0"/>
    <n v="0"/>
    <n v="0"/>
    <s v="Homologação"/>
    <s v="Em andamento"/>
    <n v="5120"/>
    <n v="0"/>
    <n v="5120"/>
    <n v="1"/>
    <s v="✅ OK - Fechar Parceiro"/>
    <x v="3"/>
  </r>
  <r>
    <x v="125"/>
    <s v="contel-126"/>
    <x v="12"/>
    <s v="BARREIRAS"/>
    <s v="BA"/>
    <s v="https://maps.app.goo.gl/BzzXa9GTLdp32Ugh8"/>
    <n v="1906"/>
    <n v="26945"/>
    <s v="HENRIQUE"/>
    <n v="0"/>
    <n v="0"/>
    <n v="0"/>
    <s v="Homologação"/>
    <s v="Em andamento"/>
    <n v="5120"/>
    <n v="0"/>
    <n v="5120"/>
    <n v="1"/>
    <s v="✅ OK - Fechar Parceiro"/>
    <x v="3"/>
  </r>
  <r>
    <x v="126"/>
    <s v="contel-127"/>
    <x v="12"/>
    <s v="MIGUEL CAMON"/>
    <s v="BA"/>
    <s v="https://maps.app.goo.gl/bx26vkdGg7bU8EFD9"/>
    <n v="1906"/>
    <n v="26944"/>
    <s v="HENRIQUE"/>
    <n v="0"/>
    <n v="0"/>
    <n v="0"/>
    <s v="Homologação"/>
    <s v="Em andamento"/>
    <n v="5120"/>
    <n v="0"/>
    <n v="5120"/>
    <n v="1"/>
    <s v="✅ OK - Fechar Parceiro"/>
    <x v="3"/>
  </r>
  <r>
    <x v="127"/>
    <s v="contel-128"/>
    <x v="12"/>
    <s v="ANGICAL"/>
    <s v="BA"/>
    <s v="https://maps.app.goo.gl/Zm91HsdyFT5f5V3s5"/>
    <n v="1906"/>
    <n v="26943"/>
    <s v="HENRIQUE"/>
    <n v="0"/>
    <n v="0"/>
    <n v="0"/>
    <s v="Homologação"/>
    <s v="Em andamento"/>
    <n v="5120"/>
    <n v="0"/>
    <n v="5120"/>
    <n v="1"/>
    <s v="✅ OK - Fechar Parceiro"/>
    <x v="3"/>
  </r>
  <r>
    <x v="128"/>
    <s v="contel-129"/>
    <x v="12"/>
    <s v="ITAPARICA"/>
    <s v="BA"/>
    <s v="https://maps.app.goo.gl/guy4hGiFmBETnWUQ9"/>
    <n v="1906"/>
    <n v="26942"/>
    <s v="HENRIQUE"/>
    <n v="0"/>
    <n v="0"/>
    <n v="0"/>
    <s v="Homologação"/>
    <s v="Em andamento"/>
    <n v="5120"/>
    <n v="0"/>
    <n v="5120"/>
    <n v="1"/>
    <s v="✅ OK - Fechar Parceiro"/>
    <x v="3"/>
  </r>
  <r>
    <x v="129"/>
    <s v="contel-130"/>
    <x v="2"/>
    <s v="PAULINHO NEVES"/>
    <s v="MA"/>
    <s v="https://maps.app.goo.gl/o4fxhd8ivBszjV7P9"/>
    <n v="1917"/>
    <n v="27102"/>
    <s v="PEDRO"/>
    <n v="6200"/>
    <n v="0"/>
    <n v="0"/>
    <s v="Mapeamento, Projeto"/>
    <s v="Em andamento"/>
    <n v="188000"/>
    <n v="6200"/>
    <n v="181800"/>
    <n v="0.96702127659574466"/>
    <s v="✅ OK - Fechar Parceiro"/>
    <x v="2"/>
  </r>
  <r>
    <x v="130"/>
    <s v="contel-131"/>
    <x v="2"/>
    <s v="INDAIATUBA"/>
    <s v="SP"/>
    <s v="https://maps.app.goo.gl/ijbNQA37KiTB22228"/>
    <n v="1916"/>
    <n v="27103"/>
    <s v="PEDRO"/>
    <n v="0"/>
    <n v="0"/>
    <n v="0"/>
    <s v="Mapeamento, Projeto"/>
    <s v="Em andamento"/>
    <n v="85480.95"/>
    <n v="0"/>
    <n v="85480.95"/>
    <n v="1"/>
    <s v="✅ OK - Fechar Parceiro"/>
    <x v="2"/>
  </r>
  <r>
    <x v="131"/>
    <s v="contel-132"/>
    <x v="0"/>
    <s v="MACAÉ"/>
    <s v="RJ"/>
    <s v="https://maps.app.goo.gl/vjZG9MgpsTMJVSvq8"/>
    <n v="1923"/>
    <n v="27110"/>
    <s v="DANILO"/>
    <n v="10000"/>
    <n v="0"/>
    <n v="0"/>
    <s v="Execução"/>
    <s v="Em andamento"/>
    <n v="19259.8"/>
    <n v="10000"/>
    <n v="9259.7999999999993"/>
    <n v="0.48078380876229243"/>
    <s v="✅ OK - Fechar Parceiro"/>
    <x v="2"/>
  </r>
  <r>
    <x v="132"/>
    <s v="contel-133"/>
    <x v="0"/>
    <s v="BERTIOGA"/>
    <s v="SP"/>
    <s v="https://maps.app.goo.gl/e8XhgqR2tJcNbtGL8"/>
    <n v="1915"/>
    <n v="27101"/>
    <s v="DANILO"/>
    <n v="200"/>
    <n v="0"/>
    <n v="0"/>
    <s v="Fabricação / Galvanização"/>
    <s v="Em andamento"/>
    <n v="7594.68"/>
    <n v="200"/>
    <n v="7394.68"/>
    <n v="0.97366577656991471"/>
    <s v="✅ OK - Fechar Parceiro"/>
    <x v="2"/>
  </r>
  <r>
    <x v="133"/>
    <s v="contel-134"/>
    <x v="0"/>
    <s v="ITANHAÉM"/>
    <s v="SP"/>
    <s v="https://maps.app.goo.gl/rscrAFiPXU4f3kmD9"/>
    <n v="1926"/>
    <n v="27172"/>
    <s v="PEDRO"/>
    <n v="1200"/>
    <n v="0"/>
    <n v="0"/>
    <s v="Mapeamento"/>
    <s v="Em andamento"/>
    <n v="65346.3"/>
    <n v="1200"/>
    <n v="64146.3"/>
    <n v="0.98163629769397809"/>
    <s v="✅ OK - Fechar Parceiro"/>
    <x v="2"/>
  </r>
  <r>
    <x v="134"/>
    <s v="contel-135"/>
    <x v="2"/>
    <s v="NOVA ANDRADINA"/>
    <s v="MS"/>
    <s v="https://maps.app.goo.gl/y91XuH55yPYwvmAw9"/>
    <n v="1927"/>
    <n v="27798"/>
    <s v="PEDRO"/>
    <n v="6260"/>
    <n v="0"/>
    <n v="0"/>
    <s v="Projeto"/>
    <s v="Em andamento"/>
    <n v="22150"/>
    <n v="6260"/>
    <n v="15890"/>
    <n v="0.71738148984198646"/>
    <s v="✅ OK - Fechar Parceiro"/>
    <x v="2"/>
  </r>
  <r>
    <x v="135"/>
    <s v="contel-136"/>
    <x v="2"/>
    <s v="CATANDUVA"/>
    <s v="SP"/>
    <s v="https://maps.app.goo.gl/4TvE41PdJAX1vPoFA"/>
    <n v="1928"/>
    <n v="27791"/>
    <s v="DANIEL"/>
    <n v="1160"/>
    <n v="0"/>
    <n v="0"/>
    <s v="Projeto"/>
    <s v="Em andamento"/>
    <n v="4450"/>
    <n v="1160"/>
    <n v="3290"/>
    <n v="0.73932584269662927"/>
    <s v="✅ OK - Fechar Parceiro"/>
    <x v="2"/>
  </r>
  <r>
    <x v="136"/>
    <s v="contel-137"/>
    <x v="5"/>
    <s v="DIVINESIA"/>
    <s v="MG"/>
    <s v="https://maps.app.goo.gl/VokggY1T4pBEDC1fA"/>
    <n v="1766"/>
    <n v="4017"/>
    <s v="MAURICIO"/>
    <n v="1500"/>
    <n v="2014.02"/>
    <n v="0"/>
    <s v="Execução"/>
    <s v="Em andamento"/>
    <n v="9477.24"/>
    <n v="3514.02"/>
    <n v="5963.2199999999993"/>
    <n v="0.62921483469870965"/>
    <s v="✅ OK - Fechar Parceiro"/>
    <x v="2"/>
  </r>
  <r>
    <x v="137"/>
    <s v="contel-138"/>
    <x v="13"/>
    <s v="BELO HORIZONTE"/>
    <s v="MG"/>
    <s v="https://maps.app.goo.gl/r8AHFEoD8WkpjFcf9"/>
    <n v="1937"/>
    <n v="27851"/>
    <s v="DANIEL"/>
    <n v="10000"/>
    <n v="0"/>
    <n v="0"/>
    <s v="Execução"/>
    <s v="Em andamento"/>
    <n v="17787"/>
    <n v="10000"/>
    <n v="7787"/>
    <n v="0.43779164558385336"/>
    <s v="✅ OK - Fechar Parceiro"/>
    <x v="2"/>
  </r>
  <r>
    <x v="138"/>
    <s v="contel-139"/>
    <x v="13"/>
    <s v="LONDRINA"/>
    <s v="PR"/>
    <s v="https://maps.app.goo.gl/HFovyHWufKmwEPhS7"/>
    <n v="1934"/>
    <n v="27846"/>
    <s v="DANIEL"/>
    <n v="12900"/>
    <n v="0"/>
    <n v="0"/>
    <s v="Execução"/>
    <s v="Em andamento"/>
    <n v="23885"/>
    <n v="12900"/>
    <n v="10985"/>
    <n v="0.45991207871048773"/>
    <s v="✅ OK - Fechar Parceiro"/>
    <x v="2"/>
  </r>
  <r>
    <x v="139"/>
    <s v="contel-140"/>
    <x v="13"/>
    <s v="NOVA IGUAÇU"/>
    <s v="RJ"/>
    <s v="https://maps.app.goo.gl/q5P5ZKvDoPXqxSJW9"/>
    <n v="1935"/>
    <n v="27848"/>
    <s v="DANIEL"/>
    <n v="9000"/>
    <n v="0"/>
    <n v="0"/>
    <s v="Execução"/>
    <s v="Em andamento"/>
    <n v="16761"/>
    <n v="9000"/>
    <n v="7761"/>
    <n v="0.46303919813853589"/>
    <s v="✅ OK - Fechar Parceiro"/>
    <x v="2"/>
  </r>
  <r>
    <x v="140"/>
    <s v="contel-141"/>
    <x v="13"/>
    <s v="SÃO MIGUEL DO OESTE"/>
    <s v="SC"/>
    <s v="https://maps.app.goo.gl/fBQrT9S3bA8zB2eRA"/>
    <n v="1936"/>
    <n v="27850"/>
    <s v="DANIEL"/>
    <n v="11200"/>
    <n v="0"/>
    <n v="0"/>
    <s v="Execução"/>
    <s v="Em andamento"/>
    <n v="20986"/>
    <n v="11200"/>
    <n v="9786"/>
    <n v="0.46631087391594395"/>
    <s v="✅ OK - Fechar Parceiro"/>
    <x v="2"/>
  </r>
  <r>
    <x v="141"/>
    <s v="contel-142"/>
    <x v="13"/>
    <s v="SÃO PAULO"/>
    <s v="SP"/>
    <s v="https://maps.app.goo.gl/npWnZoZopih99hbX7"/>
    <n v="1938"/>
    <n v="27853"/>
    <s v="DANIEL"/>
    <n v="11000"/>
    <n v="0"/>
    <n v="0"/>
    <s v="Execução"/>
    <s v="Em andamento"/>
    <n v="26928"/>
    <n v="11000"/>
    <n v="15928"/>
    <n v="0.59150326797385622"/>
    <s v="✅ OK - Fechar Parceiro"/>
    <x v="2"/>
  </r>
  <r>
    <x v="142"/>
    <s v="contel-143"/>
    <x v="13"/>
    <s v="TABOÂO DA SERRA"/>
    <s v="SP"/>
    <s v="https://maps.app.goo.gl/RsuthpiWgLBTUogM6"/>
    <n v="1939"/>
    <n v="27855"/>
    <s v="DANIEL"/>
    <n v="10000"/>
    <n v="0"/>
    <n v="0"/>
    <s v="Execução"/>
    <s v="Em andamento"/>
    <n v="24918"/>
    <n v="10000"/>
    <n v="14918"/>
    <n v="0.59868368247852954"/>
    <s v="✅ OK - Fechar Parceiro"/>
    <x v="2"/>
  </r>
  <r>
    <x v="143"/>
    <s v="contel-144"/>
    <x v="13"/>
    <s v="CONTAGEM"/>
    <s v="MG"/>
    <s v="https://maps.app.goo.gl/XDA6UGmYcU343Qkj6"/>
    <n v="1933"/>
    <n v="27842"/>
    <s v="DANIEL"/>
    <n v="12300"/>
    <n v="0"/>
    <n v="0"/>
    <s v="Execução"/>
    <s v="Em andamento"/>
    <n v="32736.1"/>
    <n v="12300"/>
    <n v="20436.099999999999"/>
    <n v="0.62426800993398723"/>
    <s v="✅ OK - Fechar Parceiro"/>
    <x v="2"/>
  </r>
  <r>
    <x v="144"/>
    <s v="contel-145"/>
    <x v="5"/>
    <s v="RIO DE JANEIRO "/>
    <s v="RJ"/>
    <s v="https://maps.app.goo.gl/ibnvYNKzMmz9czhu9"/>
    <n v="1940"/>
    <n v="27852"/>
    <s v="MAURICIO"/>
    <n v="1200"/>
    <n v="0"/>
    <n v="0"/>
    <s v="Survey"/>
    <s v="Em andamento"/>
    <n v="0"/>
    <n v="1200"/>
    <n v="-1200"/>
    <n v="0"/>
    <s v="⚠️ Ajustar Custos (&lt;20%)"/>
    <x v="2"/>
  </r>
  <r>
    <x v="145"/>
    <s v="contel-146"/>
    <x v="5"/>
    <s v="CUIABÁ"/>
    <s v="MT"/>
    <s v="https://maps.app.goo.gl/x5UuxwokiE5T9WiF8"/>
    <n v="1932"/>
    <n v="27847"/>
    <s v="MAURICIO"/>
    <n v="300"/>
    <n v="0"/>
    <n v="0"/>
    <s v="Survey"/>
    <s v="Em andamento"/>
    <n v="0"/>
    <n v="300"/>
    <n v="-300"/>
    <n v="0"/>
    <s v="⚠️ Ajustar Custos (&lt;20%)"/>
    <x v="2"/>
  </r>
  <r>
    <x v="146"/>
    <s v="contel-147"/>
    <x v="1"/>
    <s v="BRASILIA"/>
    <s v="DF"/>
    <s v="https://maps.app.goo.gl/3gc9w3hEnFXqD5bL8"/>
    <n v="1931"/>
    <n v="27854"/>
    <s v="PEDRO"/>
    <n v="400"/>
    <n v="0"/>
    <n v="0"/>
    <s v="Projeto"/>
    <s v="Em andamento"/>
    <n v="8784.5"/>
    <n v="400"/>
    <n v="8384.5"/>
    <n v="0.95446525129489446"/>
    <s v="✅ OK - Fechar Parceiro"/>
    <x v="2"/>
  </r>
  <r>
    <x v="147"/>
    <s v="contel-148"/>
    <x v="2"/>
    <s v="SÃO MIGUEL DO IGUAÇU"/>
    <s v="PR"/>
    <s v="https://maps.app.goo.gl/MWc2BT2qkhFx9HeCA"/>
    <n v="1930"/>
    <n v="27841"/>
    <s v="DANIEL"/>
    <n v="11000"/>
    <n v="0"/>
    <n v="0"/>
    <s v="Execução"/>
    <s v="Em andamento"/>
    <n v="35045.14"/>
    <n v="11000"/>
    <n v="24045.14"/>
    <n v="0.68611910239194362"/>
    <s v="✅ OK - Fechar Parceiro"/>
    <x v="2"/>
  </r>
  <r>
    <x v="148"/>
    <s v="contel-149"/>
    <x v="5"/>
    <s v="MIMOSO "/>
    <s v="ES"/>
    <s v="https://maps.app.goo.gl/uvof1bnwmBQ7UHtf8"/>
    <n v="1844"/>
    <n v="3528"/>
    <s v="MAURICIO"/>
    <n v="6700"/>
    <n v="0"/>
    <n v="0"/>
    <s v="Execução"/>
    <s v="Em andamento"/>
    <n v="11891.4"/>
    <n v="6700"/>
    <n v="5191.3999999999996"/>
    <n v="0.43656760347814383"/>
    <s v="✅ OK - Fechar Parceiro"/>
    <x v="2"/>
  </r>
  <r>
    <x v="149"/>
    <s v="contel-150"/>
    <x v="1"/>
    <s v="SÃO FRANCISCO DE ITABAPOANA"/>
    <s v="RJ"/>
    <s v="https://maps.app.goo.gl/JvgFFfP11CD6h1yB9"/>
    <n v="1697"/>
    <n v="12761"/>
    <s v="DANILO"/>
    <n v="36167.5"/>
    <n v="9075.3700000000008"/>
    <n v="2678.99"/>
    <s v="Finalizado"/>
    <s v="Finalizado"/>
    <n v="120326.8"/>
    <n v="47921.86"/>
    <n v="72404.94"/>
    <n v="0.60173577291177027"/>
    <s v="✅ OK - Fechar Parceiro"/>
    <x v="0"/>
  </r>
  <r>
    <x v="150"/>
    <s v="contel-151"/>
    <x v="2"/>
    <s v="PEDRO ALEXANDRE"/>
    <s v="BA"/>
    <s v="https://maps.app.goo.gl/bDw3NrGp12dDrPb6A"/>
    <n v="1943"/>
    <n v="27878"/>
    <s v="DANIEL"/>
    <n v="22000"/>
    <n v="0"/>
    <n v="0"/>
    <s v="Execução"/>
    <s v="Em andamento"/>
    <n v="51051.7"/>
    <n v="22000"/>
    <n v="29051.699999999997"/>
    <n v="0.56906430148261467"/>
    <s v="✅ OK - Fechar Parceiro"/>
    <x v="2"/>
  </r>
  <r>
    <x v="151"/>
    <s v="contel-152"/>
    <x v="5"/>
    <s v="VARGINHA"/>
    <s v="MG"/>
    <s v="https://maps.app.goo.gl/caMykh6qZbbThaW36"/>
    <n v="1944"/>
    <n v="27885"/>
    <s v="MAURICIO"/>
    <n v="1000"/>
    <n v="0"/>
    <n v="0"/>
    <s v="Execução"/>
    <s v="Em andamento"/>
    <n v="4123.7"/>
    <n v="1000"/>
    <n v="3123.7"/>
    <n v="0.75749933312316609"/>
    <s v="✅ OK - Fechar Parceiro"/>
    <x v="2"/>
  </r>
  <r>
    <x v="152"/>
    <s v="contel-153"/>
    <x v="5"/>
    <s v="JUIZ DE FORA"/>
    <s v="MG"/>
    <s v="https://maps.app.goo.gl/49h1noC3GdiDwEjD9"/>
    <n v="1901"/>
    <n v="27030"/>
    <s v="MAURICIO"/>
    <n v="0"/>
    <n v="0"/>
    <n v="0"/>
    <s v="Compra de material, Fabricação / Galvanização"/>
    <s v="Em andamento"/>
    <n v="39388.42"/>
    <n v="0"/>
    <n v="39388.42"/>
    <n v="1"/>
    <s v="✅ OK - Fechar Parceiro"/>
    <x v="2"/>
  </r>
  <r>
    <x v="153"/>
    <s v="contel-154"/>
    <x v="14"/>
    <s v="TURVO"/>
    <s v="PR"/>
    <s v="https://maps.app.goo.gl/zJSMMSdxJm6Y9WT59"/>
    <n v="598"/>
    <n v="3606"/>
    <s v="HENRIQUE"/>
    <n v="0"/>
    <n v="0"/>
    <n v="0"/>
    <s v="Envio de material"/>
    <s v="Em andamento"/>
    <n v="78601"/>
    <n v="0"/>
    <n v="78601"/>
    <n v="1"/>
    <s v="✅ OK - Fechar Parceiro"/>
    <x v="2"/>
  </r>
  <r>
    <x v="154"/>
    <s v="contel-155"/>
    <x v="5"/>
    <s v="UMBAÚBA"/>
    <s v="SE"/>
    <s v="https://maps.app.goo.gl/yymiNGcxpWdiJ4w7A"/>
    <n v="1947"/>
    <n v="28221"/>
    <s v="MAURICIO"/>
    <n v="1900"/>
    <n v="0"/>
    <n v="0"/>
    <s v="Survey"/>
    <s v="Em andamento"/>
    <m/>
    <n v="1900"/>
    <n v="-1900"/>
    <n v="0"/>
    <s v="⚠️ Ajustar Custos (&lt;20%)"/>
    <x v="2"/>
  </r>
  <r>
    <x v="155"/>
    <s v="contel-156"/>
    <x v="5"/>
    <s v="CABO FRIO "/>
    <s v="RJ"/>
    <s v="https://maps.app.goo.gl/ARuSqgsmuvRSpQP77"/>
    <n v="1784"/>
    <n v="16116"/>
    <s v="MAURICIO"/>
    <n v="0"/>
    <n v="0"/>
    <n v="0"/>
    <s v="Survey"/>
    <s v="Em andamento"/>
    <m/>
    <n v="0"/>
    <n v="0"/>
    <n v="0"/>
    <s v="⚠️ Ajustar Custos (&lt;20%)"/>
    <x v="2"/>
  </r>
  <r>
    <x v="156"/>
    <s v="contel-157"/>
    <x v="5"/>
    <s v="CAMPOS DOS GOYTACAZES"/>
    <s v="RJ"/>
    <s v="https://maps.app.goo.gl/NZPVe6SWsyuxYXiz7"/>
    <n v="1843"/>
    <n v="16706"/>
    <s v="MAURICIO"/>
    <n v="0"/>
    <n v="0"/>
    <n v="0"/>
    <s v="Survey"/>
    <s v="Em andamento"/>
    <m/>
    <n v="0"/>
    <n v="0"/>
    <n v="0"/>
    <s v="⚠️ Ajustar Custos (&lt;20%)"/>
    <x v="2"/>
  </r>
  <r>
    <x v="157"/>
    <s v="contel-158"/>
    <x v="0"/>
    <s v="CONCÓRDIA"/>
    <s v="MG"/>
    <s v="https://maps.app.goo.gl/kNs5VTEqaHwSDbeH8"/>
    <n v="1929"/>
    <n v="27838"/>
    <s v="PEDRO"/>
    <n v="23000"/>
    <n v="0"/>
    <n v="0"/>
    <s v="Fabricação / Galvanização"/>
    <s v="Em andamento"/>
    <n v="100074.53"/>
    <n v="23000"/>
    <n v="77074.53"/>
    <n v="0.77017129133656681"/>
    <s v="✅ OK - Fechar Parceiro"/>
    <x v="2"/>
  </r>
  <r>
    <x v="158"/>
    <s v="contel-159"/>
    <x v="2"/>
    <s v="PORTO SEGURO "/>
    <s v="BA"/>
    <s v="https://maps.app.goo.gl/1U7Lpr6Gi6Q9F1E26"/>
    <n v="1948"/>
    <n v="28228"/>
    <s v="DANILO"/>
    <n v="0"/>
    <n v="0"/>
    <n v="0"/>
    <s v="Abertura de obra, Elaboração de cronograma"/>
    <s v="Em andamento"/>
    <n v="65803.88"/>
    <n v="0"/>
    <n v="65803.88"/>
    <n v="1"/>
    <s v="✅ OK - Fechar Parceiro"/>
    <x v="2"/>
  </r>
  <r>
    <x v="159"/>
    <s v="contel-160"/>
    <x v="15"/>
    <s v="GOIÂNIA"/>
    <s v="GO"/>
    <s v="https://maps.app.goo.gl/MVRSMTgrZE34oNzz5"/>
    <n v="1952"/>
    <n v="28248"/>
    <s v="DANILO"/>
    <n v="0"/>
    <n v="0"/>
    <n v="0"/>
    <s v="Elaboração de cronograma, Projeto"/>
    <s v="Em andamento"/>
    <n v="264275.99"/>
    <n v="0"/>
    <n v="264275.99"/>
    <n v="1"/>
    <s v="✅ OK - Fechar Parceiro"/>
    <x v="2"/>
  </r>
  <r>
    <x v="160"/>
    <s v="contel-161"/>
    <x v="15"/>
    <s v="GOIÂNIA"/>
    <s v="GO"/>
    <s v="https://maps.app.goo.gl/GNd1vwATVpk2kbzy7"/>
    <n v="1951"/>
    <n v="28247"/>
    <s v="DANILO"/>
    <n v="0"/>
    <n v="0"/>
    <n v="0"/>
    <s v="Elaboração de cronograma, Projeto"/>
    <s v="Em andamento"/>
    <n v="177911.79"/>
    <n v="0"/>
    <n v="177911.79"/>
    <n v="1"/>
    <s v="✅ OK - Fechar Parceiro"/>
    <x v="2"/>
  </r>
  <r>
    <x v="161"/>
    <s v="contel-162"/>
    <x v="15"/>
    <s v="GOIÂNIA"/>
    <s v="GO"/>
    <s v="https://maps.app.goo.gl/p4FhgC9fLtKroJ6z6"/>
    <n v="1950"/>
    <n v="28246"/>
    <s v="DANILO"/>
    <n v="0"/>
    <n v="0"/>
    <n v="0"/>
    <s v="Elaboração de cronograma, Projeto"/>
    <s v="Em andamento"/>
    <n v="269910.93"/>
    <n v="0"/>
    <n v="269910.93"/>
    <n v="1"/>
    <s v="✅ OK - Fechar Parceiro"/>
    <x v="2"/>
  </r>
  <r>
    <x v="162"/>
    <s v="contel-163"/>
    <x v="15"/>
    <s v="GOIÂNIA"/>
    <s v="GO"/>
    <s v="https://maps.app.goo.gl/zeyzFykff6fUKiTL7"/>
    <n v="1949"/>
    <n v="28245"/>
    <s v="DANILO"/>
    <n v="0"/>
    <n v="0"/>
    <n v="0"/>
    <s v="Projeto"/>
    <s v="Em andamento"/>
    <n v="276683.99"/>
    <n v="0"/>
    <n v="276683.99"/>
    <n v="1"/>
    <s v="✅ OK - Fechar Parceiro"/>
    <x v="2"/>
  </r>
  <r>
    <x v="163"/>
    <s v="contel-164"/>
    <x v="0"/>
    <s v="RIO DAS OSTRAS"/>
    <s v="RJ"/>
    <s v="https://maps.app.goo.gl/hocWfzeXp8mxgmYM6"/>
    <m/>
    <m/>
    <m/>
    <n v="0"/>
    <n v="0"/>
    <n v="0"/>
    <s v="Abertura de obra"/>
    <s v="Em andamento"/>
    <n v="61768.49"/>
    <n v="0"/>
    <n v="61768.49"/>
    <n v="1"/>
    <s v="✅ OK - Fechar Parceiro"/>
    <x v="2"/>
  </r>
  <r>
    <x v="164"/>
    <s v="contel-165"/>
    <x v="16"/>
    <s v="EUSÉBIO"/>
    <s v="CE"/>
    <s v="https://maps.app.goo.gl/kDZ5KJ8SsmcfcKNp9"/>
    <n v="1953"/>
    <n v="28708"/>
    <s v="DANILO"/>
    <n v="0"/>
    <n v="0"/>
    <n v="0"/>
    <s v="Cancelada"/>
    <s v="Cancelada"/>
    <n v="136858.72"/>
    <n v="0"/>
    <n v="136858.72"/>
    <n v="1"/>
    <s v="✅ OK - Fechar Parceiro"/>
    <x v="4"/>
  </r>
  <r>
    <x v="57"/>
    <s v="contel-166"/>
    <x v="2"/>
    <s v="VIANA"/>
    <s v="MA"/>
    <s v="https://maps.app.goo.gl/b436xVT5jq5BGn767"/>
    <n v="1802"/>
    <n v="28710"/>
    <s v="PEDRO"/>
    <n v="0"/>
    <n v="0"/>
    <n v="0"/>
    <s v="Projeto"/>
    <s v="Em andamento"/>
    <n v="2500"/>
    <n v="0"/>
    <n v="2500"/>
    <n v="1"/>
    <s v="✅ OK - Fechar Parceiro"/>
    <x v="2"/>
  </r>
  <r>
    <x v="70"/>
    <s v="contel-167"/>
    <x v="2"/>
    <s v="BOM JESUS DA SELVA"/>
    <s v="MA"/>
    <s v="https://maps.app.goo.gl/bDcNTBEr5Xe5AdQy5"/>
    <n v="1850"/>
    <n v="28709"/>
    <s v="PEDRO"/>
    <n v="750"/>
    <n v="0"/>
    <n v="0"/>
    <s v="Projeto"/>
    <s v="Em andamento"/>
    <n v="1705"/>
    <n v="750"/>
    <n v="955"/>
    <n v="0.56011730205278587"/>
    <s v="✅ OK - Fechar Parceiro"/>
    <x v="2"/>
  </r>
  <r>
    <x v="55"/>
    <s v="contel-168"/>
    <x v="2"/>
    <s v="BACURITIBA "/>
    <s v="MA"/>
    <s v="https://maps.app.goo.gl/LSnUkKvUxFXntyix6"/>
    <n v="1803"/>
    <n v="28715"/>
    <s v="PEDRO"/>
    <n v="1100"/>
    <n v="0"/>
    <n v="0"/>
    <s v="Projeto"/>
    <s v="Em andamento"/>
    <n v="4785"/>
    <n v="1100"/>
    <n v="3685"/>
    <n v="0.77011494252873558"/>
    <s v="✅ OK - Fechar Parceiro"/>
    <x v="2"/>
  </r>
  <r>
    <x v="165"/>
    <s v="contel-169"/>
    <x v="5"/>
    <s v="RIO PRETO DA EVA"/>
    <s v="AM "/>
    <s v="https://maps.app.goo.gl/vfbSXRPsCS1RL9oN7"/>
    <m/>
    <n v="15942"/>
    <s v="PEDRO"/>
    <n v="1500"/>
    <n v="0"/>
    <n v="0"/>
    <s v="Survey"/>
    <s v="Em andamento"/>
    <m/>
    <n v="1500"/>
    <n v="-1500"/>
    <n v="0"/>
    <s v="⚠️ Ajustar Custos (&lt;20%)"/>
    <x v="2"/>
  </r>
  <r>
    <x v="166"/>
    <s v="contel-170"/>
    <x v="5"/>
    <s v="ALTA FLORESTA"/>
    <s v="MT"/>
    <s v="https://maps.app.goo.gl/4ghwZBYcaER8YkoG9"/>
    <n v="1893"/>
    <n v="3972"/>
    <s v="MAURICIO"/>
    <n v="6000"/>
    <n v="712.08"/>
    <m/>
    <s v="Finalizado"/>
    <s v="Finalizado"/>
    <n v="17116.91"/>
    <n v="6712.08"/>
    <n v="10404.83"/>
    <n v="0.60786847626119433"/>
    <s v="✅ OK - Fechar Parceiro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88742-1F77-4448-BD57-890962FA9B75}" name="Clientes 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8">
  <location ref="A3:B21" firstHeaderRow="1" firstDataRow="1" firstDataCol="1"/>
  <pivotFields count="20">
    <pivotField dataField="1" compact="0" outline="0" showAll="0">
      <items count="169">
        <item x="149"/>
        <item x="6"/>
        <item x="53"/>
        <item x="8"/>
        <item x="4"/>
        <item x="5"/>
        <item x="7"/>
        <item x="3"/>
        <item x="146"/>
        <item m="1" x="167"/>
        <item x="75"/>
        <item x="59"/>
        <item x="76"/>
        <item x="11"/>
        <item x="9"/>
        <item x="10"/>
        <item x="12"/>
        <item x="119"/>
        <item x="155"/>
        <item x="114"/>
        <item x="166"/>
        <item x="158"/>
        <item x="150"/>
        <item x="157"/>
        <item x="132"/>
        <item x="85"/>
        <item x="133"/>
        <item x="163"/>
        <item x="62"/>
        <item x="13"/>
        <item x="49"/>
        <item x="14"/>
        <item x="21"/>
        <item x="27"/>
        <item x="52"/>
        <item x="47"/>
        <item x="83"/>
        <item x="131"/>
        <item x="24"/>
        <item x="43"/>
        <item x="26"/>
        <item x="25"/>
        <item x="28"/>
        <item x="35"/>
        <item x="23"/>
        <item x="42"/>
        <item x="22"/>
        <item x="33"/>
        <item x="15"/>
        <item x="16"/>
        <item x="46"/>
        <item x="2"/>
        <item x="71"/>
        <item x="45"/>
        <item x="84"/>
        <item x="41"/>
        <item x="82"/>
        <item x="17"/>
        <item x="99"/>
        <item x="63"/>
        <item x="64"/>
        <item x="48"/>
        <item x="61"/>
        <item x="1"/>
        <item x="39"/>
        <item x="74"/>
        <item x="19"/>
        <item x="0"/>
        <item x="100"/>
        <item x="60"/>
        <item x="50"/>
        <item x="137"/>
        <item x="143"/>
        <item x="138"/>
        <item x="139"/>
        <item x="140"/>
        <item x="141"/>
        <item x="142"/>
        <item x="101"/>
        <item x="38"/>
        <item x="51"/>
        <item x="107"/>
        <item x="93"/>
        <item x="109"/>
        <item x="110"/>
        <item x="115"/>
        <item x="164"/>
        <item x="108"/>
        <item x="156"/>
        <item x="97"/>
        <item x="77"/>
        <item x="92"/>
        <item x="113"/>
        <item x="145"/>
        <item x="118"/>
        <item x="78"/>
        <item x="44"/>
        <item x="136"/>
        <item x="116"/>
        <item x="117"/>
        <item x="104"/>
        <item x="162"/>
        <item x="161"/>
        <item x="160"/>
        <item x="159"/>
        <item x="73"/>
        <item x="90"/>
        <item x="91"/>
        <item x="152"/>
        <item x="55"/>
        <item x="70"/>
        <item x="72"/>
        <item x="69"/>
        <item x="129"/>
        <item x="57"/>
        <item x="148"/>
        <item x="105"/>
        <item x="134"/>
        <item x="79"/>
        <item x="32"/>
        <item x="81"/>
        <item x="94"/>
        <item x="112"/>
        <item x="127"/>
        <item x="128"/>
        <item x="125"/>
        <item x="122"/>
        <item x="126"/>
        <item x="120"/>
        <item x="123"/>
        <item x="124"/>
        <item x="121"/>
        <item x="30"/>
        <item x="36"/>
        <item x="56"/>
        <item x="80"/>
        <item x="102"/>
        <item x="147"/>
        <item x="98"/>
        <item x="144"/>
        <item x="96"/>
        <item x="37"/>
        <item x="165"/>
        <item x="29"/>
        <item x="66"/>
        <item x="103"/>
        <item x="20"/>
        <item x="65"/>
        <item x="95"/>
        <item x="67"/>
        <item x="135"/>
        <item x="130"/>
        <item x="31"/>
        <item x="68"/>
        <item x="18"/>
        <item x="106"/>
        <item x="87"/>
        <item x="88"/>
        <item x="86"/>
        <item x="89"/>
        <item x="34"/>
        <item x="40"/>
        <item x="58"/>
        <item x="54"/>
        <item x="153"/>
        <item x="154"/>
        <item x="151"/>
        <item x="111"/>
        <item t="default"/>
      </items>
    </pivotField>
    <pivotField compact="0" outline="0" showAll="0"/>
    <pivotField axis="axisRow" compact="0" outline="0" showAll="0">
      <items count="19">
        <item n="GENOVA" x="10"/>
        <item x="5"/>
        <item x="2"/>
        <item x="1"/>
        <item x="8"/>
        <item x="3"/>
        <item x="0"/>
        <item x="9"/>
        <item x="6"/>
        <item x="7"/>
        <item x="11"/>
        <item x="4"/>
        <item x="12"/>
        <item m="1" x="17"/>
        <item x="13"/>
        <item x="14"/>
        <item x="15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compact="0" numFmtId="10" outline="0" showAll="0"/>
    <pivotField compact="0" outline="0" showAll="0"/>
    <pivotField compact="0" outline="0" showAll="0"/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TOTAL SITE" fld="0" subtotal="count" baseField="0" baseItem="0"/>
  </dataFields>
  <formats count="6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2" type="button" dataOnly="0" labelOnly="1" outline="0" axis="axisRow" fieldPosition="0"/>
    </format>
    <format dxfId="29">
      <pivotArea dataOnly="0" labelOnly="1" outline="0" fieldPosition="0">
        <references count="1">
          <reference field="2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</formats>
  <chartFormats count="4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AFCD0-1B67-4C09-95E0-2582133174A1}" name="Margem 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D3:G21" firstHeaderRow="0" firstDataRow="1" firstDataCol="1"/>
  <pivotFields count="20">
    <pivotField compact="0" outline="0" showAll="0">
      <items count="169">
        <item x="149"/>
        <item x="6"/>
        <item x="53"/>
        <item x="8"/>
        <item x="4"/>
        <item x="5"/>
        <item x="7"/>
        <item x="3"/>
        <item x="146"/>
        <item m="1" x="167"/>
        <item x="75"/>
        <item x="59"/>
        <item x="76"/>
        <item x="11"/>
        <item x="9"/>
        <item x="10"/>
        <item x="12"/>
        <item x="119"/>
        <item x="155"/>
        <item x="114"/>
        <item x="166"/>
        <item x="158"/>
        <item x="150"/>
        <item x="157"/>
        <item x="132"/>
        <item x="85"/>
        <item x="133"/>
        <item x="163"/>
        <item x="62"/>
        <item x="13"/>
        <item x="49"/>
        <item x="14"/>
        <item x="21"/>
        <item x="27"/>
        <item x="52"/>
        <item x="47"/>
        <item x="83"/>
        <item x="131"/>
        <item x="24"/>
        <item x="43"/>
        <item x="26"/>
        <item x="25"/>
        <item x="28"/>
        <item x="35"/>
        <item x="23"/>
        <item x="42"/>
        <item x="22"/>
        <item x="33"/>
        <item x="15"/>
        <item x="16"/>
        <item x="46"/>
        <item x="2"/>
        <item x="71"/>
        <item x="45"/>
        <item x="84"/>
        <item x="41"/>
        <item x="82"/>
        <item x="17"/>
        <item x="99"/>
        <item x="63"/>
        <item x="64"/>
        <item x="48"/>
        <item x="61"/>
        <item x="1"/>
        <item x="39"/>
        <item x="74"/>
        <item x="19"/>
        <item x="0"/>
        <item x="100"/>
        <item x="60"/>
        <item x="50"/>
        <item x="137"/>
        <item x="143"/>
        <item x="138"/>
        <item x="139"/>
        <item x="140"/>
        <item x="141"/>
        <item x="142"/>
        <item x="101"/>
        <item x="38"/>
        <item x="51"/>
        <item x="107"/>
        <item x="93"/>
        <item x="109"/>
        <item x="110"/>
        <item x="115"/>
        <item x="164"/>
        <item x="108"/>
        <item x="156"/>
        <item x="97"/>
        <item x="77"/>
        <item x="92"/>
        <item x="113"/>
        <item x="145"/>
        <item x="118"/>
        <item x="78"/>
        <item x="44"/>
        <item x="136"/>
        <item x="116"/>
        <item x="117"/>
        <item x="104"/>
        <item x="162"/>
        <item x="161"/>
        <item x="160"/>
        <item x="159"/>
        <item x="73"/>
        <item x="90"/>
        <item x="91"/>
        <item x="152"/>
        <item x="55"/>
        <item x="70"/>
        <item x="72"/>
        <item x="69"/>
        <item x="129"/>
        <item x="57"/>
        <item x="148"/>
        <item x="105"/>
        <item x="134"/>
        <item x="79"/>
        <item x="32"/>
        <item x="81"/>
        <item x="94"/>
        <item x="112"/>
        <item x="127"/>
        <item x="128"/>
        <item x="125"/>
        <item x="122"/>
        <item x="126"/>
        <item x="120"/>
        <item x="123"/>
        <item x="124"/>
        <item x="121"/>
        <item x="30"/>
        <item x="36"/>
        <item x="56"/>
        <item x="80"/>
        <item x="102"/>
        <item x="147"/>
        <item x="98"/>
        <item x="144"/>
        <item x="96"/>
        <item x="37"/>
        <item x="165"/>
        <item x="29"/>
        <item x="66"/>
        <item x="103"/>
        <item x="20"/>
        <item x="65"/>
        <item x="95"/>
        <item x="67"/>
        <item x="135"/>
        <item x="130"/>
        <item x="31"/>
        <item x="68"/>
        <item x="18"/>
        <item x="106"/>
        <item x="87"/>
        <item x="88"/>
        <item x="86"/>
        <item x="89"/>
        <item x="34"/>
        <item x="40"/>
        <item x="58"/>
        <item x="54"/>
        <item x="153"/>
        <item x="154"/>
        <item x="151"/>
        <item x="111"/>
        <item t="default"/>
      </items>
    </pivotField>
    <pivotField compact="0" outline="0" showAll="0"/>
    <pivotField axis="axisRow" compact="0" outline="0" showAll="0">
      <items count="19">
        <item n="GENOVA" x="10"/>
        <item x="5"/>
        <item x="2"/>
        <item x="1"/>
        <item x="8"/>
        <item x="3"/>
        <item x="0"/>
        <item x="9"/>
        <item x="6"/>
        <item x="7"/>
        <item x="11"/>
        <item x="4"/>
        <item x="12"/>
        <item m="1" x="17"/>
        <item x="13"/>
        <item x="14"/>
        <item x="15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44" outline="0" showAll="0"/>
    <pivotField dataField="1" compact="0" numFmtId="44" outline="0" showAll="0"/>
    <pivotField dataField="1" compact="0" numFmtId="10" outline="0" showAll="0"/>
    <pivotField compact="0" outline="0" showAll="0"/>
    <pivotField compact="0" outline="0" showAll="0"/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RGEM %" fld="17" baseField="0" baseItem="0" numFmtId="10"/>
    <dataField name=" LUCRO (R$)" fld="16" baseField="0" baseItem="0" numFmtId="44"/>
    <dataField name=" CUSTOS TOTAIS (R$)" fld="15" baseField="0" baseItem="0" numFmtId="44"/>
  </dataFields>
  <formats count="6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2" type="button" dataOnly="0" labelOnly="1" outline="0" axis="axisRow" fieldPosition="0"/>
    </format>
    <format dxfId="35">
      <pivotArea dataOnly="0" labelOnly="1" outline="0" fieldPosition="0">
        <references count="1">
          <reference field="2" count="0"/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4AA39C-88A6-4956-9CC7-6AEEAE3B786A}" name="Status sites" cacheId="6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 chartFormat="9">
  <location ref="I3:N22" firstHeaderRow="1" firstDataRow="2" firstDataCol="1"/>
  <pivotFields count="20">
    <pivotField dataField="1" compact="0" outline="0" showAll="0">
      <items count="169">
        <item x="149"/>
        <item x="6"/>
        <item x="53"/>
        <item x="8"/>
        <item x="4"/>
        <item x="5"/>
        <item x="7"/>
        <item x="3"/>
        <item x="146"/>
        <item m="1" x="167"/>
        <item x="75"/>
        <item x="59"/>
        <item x="76"/>
        <item x="11"/>
        <item x="9"/>
        <item x="10"/>
        <item x="12"/>
        <item x="119"/>
        <item x="155"/>
        <item x="114"/>
        <item x="166"/>
        <item x="158"/>
        <item x="150"/>
        <item x="157"/>
        <item x="132"/>
        <item x="85"/>
        <item x="133"/>
        <item x="163"/>
        <item x="62"/>
        <item x="13"/>
        <item x="49"/>
        <item x="14"/>
        <item x="21"/>
        <item x="27"/>
        <item x="52"/>
        <item x="47"/>
        <item x="83"/>
        <item x="131"/>
        <item x="24"/>
        <item x="43"/>
        <item x="26"/>
        <item x="25"/>
        <item x="28"/>
        <item x="35"/>
        <item x="23"/>
        <item x="42"/>
        <item x="22"/>
        <item x="33"/>
        <item x="15"/>
        <item x="16"/>
        <item x="46"/>
        <item x="2"/>
        <item x="71"/>
        <item x="45"/>
        <item x="84"/>
        <item x="41"/>
        <item x="82"/>
        <item x="17"/>
        <item x="99"/>
        <item x="63"/>
        <item x="64"/>
        <item x="48"/>
        <item x="61"/>
        <item x="1"/>
        <item x="39"/>
        <item x="74"/>
        <item x="19"/>
        <item x="0"/>
        <item x="100"/>
        <item x="60"/>
        <item x="50"/>
        <item x="137"/>
        <item x="143"/>
        <item x="138"/>
        <item x="139"/>
        <item x="140"/>
        <item x="141"/>
        <item x="142"/>
        <item x="101"/>
        <item x="38"/>
        <item x="51"/>
        <item x="107"/>
        <item x="93"/>
        <item x="109"/>
        <item x="110"/>
        <item x="115"/>
        <item x="164"/>
        <item x="108"/>
        <item x="156"/>
        <item x="97"/>
        <item x="77"/>
        <item x="92"/>
        <item x="113"/>
        <item x="145"/>
        <item x="118"/>
        <item x="78"/>
        <item x="44"/>
        <item x="136"/>
        <item x="116"/>
        <item x="117"/>
        <item x="104"/>
        <item x="162"/>
        <item x="161"/>
        <item x="160"/>
        <item x="159"/>
        <item x="73"/>
        <item x="90"/>
        <item x="91"/>
        <item x="152"/>
        <item x="55"/>
        <item x="70"/>
        <item x="72"/>
        <item x="69"/>
        <item x="129"/>
        <item x="57"/>
        <item x="148"/>
        <item x="105"/>
        <item x="134"/>
        <item x="79"/>
        <item x="32"/>
        <item x="81"/>
        <item x="94"/>
        <item x="112"/>
        <item x="127"/>
        <item x="128"/>
        <item x="125"/>
        <item x="122"/>
        <item x="126"/>
        <item x="120"/>
        <item x="123"/>
        <item x="124"/>
        <item x="121"/>
        <item x="30"/>
        <item x="36"/>
        <item x="56"/>
        <item x="80"/>
        <item x="102"/>
        <item x="147"/>
        <item x="98"/>
        <item x="144"/>
        <item x="96"/>
        <item x="37"/>
        <item x="165"/>
        <item x="29"/>
        <item x="66"/>
        <item x="103"/>
        <item x="20"/>
        <item x="65"/>
        <item x="95"/>
        <item x="67"/>
        <item x="135"/>
        <item x="130"/>
        <item x="31"/>
        <item x="68"/>
        <item x="18"/>
        <item x="106"/>
        <item x="87"/>
        <item x="88"/>
        <item x="86"/>
        <item x="89"/>
        <item x="34"/>
        <item x="40"/>
        <item x="58"/>
        <item x="54"/>
        <item x="153"/>
        <item x="154"/>
        <item x="151"/>
        <item x="111"/>
        <item t="default"/>
      </items>
    </pivotField>
    <pivotField compact="0" outline="0" showAll="0"/>
    <pivotField axis="axisRow" compact="0" outline="0" showAll="0">
      <items count="19">
        <item n="GENOVA" x="10"/>
        <item x="5"/>
        <item x="2"/>
        <item x="1"/>
        <item x="8"/>
        <item x="3"/>
        <item x="0"/>
        <item x="9"/>
        <item x="6"/>
        <item x="7"/>
        <item x="11"/>
        <item x="4"/>
        <item x="12"/>
        <item m="1" x="17"/>
        <item x="13"/>
        <item x="14"/>
        <item x="15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compact="0" numFmtId="10" outline="0" showAll="0"/>
    <pivotField compact="0" outline="0" showAll="0"/>
    <pivotField axis="axisCol" compact="0" outline="0" showAll="0">
      <items count="8">
        <item x="1"/>
        <item x="0"/>
        <item x="3"/>
        <item x="2"/>
        <item m="1" x="5"/>
        <item x="4"/>
        <item m="1" x="6"/>
        <item t="default"/>
      </items>
    </pivotField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 t="grand">
      <x/>
    </i>
  </rowItems>
  <colFields count="1">
    <field x="19"/>
  </colFields>
  <colItems count="5">
    <i>
      <x/>
    </i>
    <i>
      <x v="1"/>
    </i>
    <i>
      <x v="2"/>
    </i>
    <i>
      <x v="3"/>
    </i>
    <i>
      <x v="5"/>
    </i>
  </colItems>
  <dataFields count="1">
    <dataField name="-" fld="0" subtotal="count" baseField="0" baseItem="0"/>
  </dataFields>
  <formats count="8">
    <format dxfId="46">
      <pivotArea type="all" dataOnly="0" outline="0" fieldPosition="0"/>
    </format>
    <format dxfId="45">
      <pivotArea outline="0" collapsedLevelsAreSubtotals="1" fieldPosition="0"/>
    </format>
    <format dxfId="44">
      <pivotArea type="origin" dataOnly="0" labelOnly="1" outline="0" fieldPosition="0"/>
    </format>
    <format dxfId="43">
      <pivotArea field="19" type="button" dataOnly="0" labelOnly="1" outline="0" axis="axisCol" fieldPosition="0"/>
    </format>
    <format dxfId="42">
      <pivotArea type="topRight" dataOnly="0" labelOnly="1" outline="0" fieldPosition="0"/>
    </format>
    <format dxfId="41">
      <pivotArea field="2" type="button" dataOnly="0" labelOnly="1" outline="0" axis="axisRow" fieldPosition="0"/>
    </format>
    <format dxfId="40">
      <pivotArea dataOnly="0" labelOnly="1" outline="0" fieldPosition="0">
        <references count="1">
          <reference field="2" count="0"/>
        </references>
      </pivotArea>
    </format>
    <format dxfId="39">
      <pivotArea dataOnly="0" labelOnly="1" grandRow="1" outline="0" fieldPosition="0"/>
    </format>
  </formats>
  <chartFormats count="13"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8" format="1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D_SITE1" xr10:uid="{4F7B7D27-CB95-4EBC-883A-1B207D0D5643}" sourceName="ID SITE">
  <pivotTables>
    <pivotTable tabId="10" name="Margem "/>
    <pivotTable tabId="10" name="Status sites"/>
    <pivotTable tabId="10" name="Clientes "/>
  </pivotTables>
  <data>
    <tabular pivotCacheId="1827653283">
      <items count="168">
        <i x="149" s="1"/>
        <i x="6" s="1"/>
        <i x="53" s="1"/>
        <i x="8" s="1"/>
        <i x="4" s="1"/>
        <i x="5" s="1"/>
        <i x="7" s="1"/>
        <i x="3" s="1"/>
        <i x="146" s="1"/>
        <i x="75" s="1"/>
        <i x="59" s="1"/>
        <i x="76" s="1"/>
        <i x="11" s="1"/>
        <i x="9" s="1"/>
        <i x="10" s="1"/>
        <i x="12" s="1"/>
        <i x="119" s="1"/>
        <i x="155" s="1"/>
        <i x="114" s="1"/>
        <i x="166" s="1"/>
        <i x="158" s="1"/>
        <i x="150" s="1"/>
        <i x="157" s="1"/>
        <i x="132" s="1"/>
        <i x="85" s="1"/>
        <i x="133" s="1"/>
        <i x="163" s="1"/>
        <i x="62" s="1"/>
        <i x="13" s="1"/>
        <i x="49" s="1"/>
        <i x="14" s="1"/>
        <i x="21" s="1"/>
        <i x="27" s="1"/>
        <i x="52" s="1"/>
        <i x="47" s="1"/>
        <i x="83" s="1"/>
        <i x="131" s="1"/>
        <i x="24" s="1"/>
        <i x="43" s="1"/>
        <i x="26" s="1"/>
        <i x="25" s="1"/>
        <i x="28" s="1"/>
        <i x="35" s="1"/>
        <i x="23" s="1"/>
        <i x="42" s="1"/>
        <i x="22" s="1"/>
        <i x="33" s="1"/>
        <i x="15" s="1"/>
        <i x="16" s="1"/>
        <i x="46" s="1"/>
        <i x="2" s="1"/>
        <i x="71" s="1"/>
        <i x="45" s="1"/>
        <i x="84" s="1"/>
        <i x="41" s="1"/>
        <i x="82" s="1"/>
        <i x="17" s="1"/>
        <i x="99" s="1"/>
        <i x="63" s="1"/>
        <i x="64" s="1"/>
        <i x="48" s="1"/>
        <i x="61" s="1"/>
        <i x="1" s="1"/>
        <i x="39" s="1"/>
        <i x="74" s="1"/>
        <i x="19" s="1"/>
        <i x="0" s="1"/>
        <i x="100" s="1"/>
        <i x="60" s="1"/>
        <i x="50" s="1"/>
        <i x="137" s="1"/>
        <i x="143" s="1"/>
        <i x="138" s="1"/>
        <i x="139" s="1"/>
        <i x="140" s="1"/>
        <i x="141" s="1"/>
        <i x="142" s="1"/>
        <i x="101" s="1"/>
        <i x="38" s="1"/>
        <i x="51" s="1"/>
        <i x="107" s="1"/>
        <i x="93" s="1"/>
        <i x="109" s="1"/>
        <i x="110" s="1"/>
        <i x="115" s="1"/>
        <i x="164" s="1"/>
        <i x="108" s="1"/>
        <i x="156" s="1"/>
        <i x="97" s="1"/>
        <i x="77" s="1"/>
        <i x="92" s="1"/>
        <i x="113" s="1"/>
        <i x="145" s="1"/>
        <i x="118" s="1"/>
        <i x="78" s="1"/>
        <i x="44" s="1"/>
        <i x="136" s="1"/>
        <i x="116" s="1"/>
        <i x="117" s="1"/>
        <i x="104" s="1"/>
        <i x="162" s="1"/>
        <i x="161" s="1"/>
        <i x="160" s="1"/>
        <i x="159" s="1"/>
        <i x="73" s="1"/>
        <i x="90" s="1"/>
        <i x="91" s="1"/>
        <i x="152" s="1"/>
        <i x="55" s="1"/>
        <i x="70" s="1"/>
        <i x="72" s="1"/>
        <i x="69" s="1"/>
        <i x="129" s="1"/>
        <i x="57" s="1"/>
        <i x="148" s="1"/>
        <i x="105" s="1"/>
        <i x="134" s="1"/>
        <i x="79" s="1"/>
        <i x="32" s="1"/>
        <i x="81" s="1"/>
        <i x="94" s="1"/>
        <i x="112" s="1"/>
        <i x="127" s="1"/>
        <i x="128" s="1"/>
        <i x="125" s="1"/>
        <i x="122" s="1"/>
        <i x="126" s="1"/>
        <i x="120" s="1"/>
        <i x="123" s="1"/>
        <i x="124" s="1"/>
        <i x="121" s="1"/>
        <i x="30" s="1"/>
        <i x="36" s="1"/>
        <i x="56" s="1"/>
        <i x="80" s="1"/>
        <i x="102" s="1"/>
        <i x="147" s="1"/>
        <i x="98" s="1"/>
        <i x="144" s="1"/>
        <i x="96" s="1"/>
        <i x="37" s="1"/>
        <i x="165" s="1"/>
        <i x="29" s="1"/>
        <i x="66" s="1"/>
        <i x="103" s="1"/>
        <i x="20" s="1"/>
        <i x="65" s="1"/>
        <i x="95" s="1"/>
        <i x="67" s="1"/>
        <i x="135" s="1"/>
        <i x="130" s="1"/>
        <i x="31" s="1"/>
        <i x="68" s="1"/>
        <i x="18" s="1"/>
        <i x="106" s="1"/>
        <i x="87" s="1"/>
        <i x="88" s="1"/>
        <i x="86" s="1"/>
        <i x="89" s="1"/>
        <i x="34" s="1"/>
        <i x="40" s="1"/>
        <i x="58" s="1"/>
        <i x="54" s="1"/>
        <i x="153" s="1"/>
        <i x="154" s="1"/>
        <i x="151" s="1"/>
        <i x="111" s="1"/>
        <i x="167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1" xr10:uid="{B09ECDED-6ED7-4FCD-8399-8A1EA06AE402}" sourceName="CLIENTE">
  <pivotTables>
    <pivotTable tabId="10" name="Margem "/>
    <pivotTable tabId="10" name="Status sites"/>
    <pivotTable tabId="10" name="Clientes "/>
  </pivotTables>
  <data>
    <tabular pivotCacheId="1827653283">
      <items count="18">
        <i x="5" s="1"/>
        <i x="10" s="1"/>
        <i x="15" s="1"/>
        <i x="2" s="1"/>
        <i x="14" s="1"/>
        <i x="1" s="1"/>
        <i x="12" s="1"/>
        <i x="16" s="1"/>
        <i x="13" s="1"/>
        <i x="8" s="1"/>
        <i x="3" s="1"/>
        <i x="0" s="1"/>
        <i x="9" s="1"/>
        <i x="6" s="1"/>
        <i x="7" s="1"/>
        <i x="11" s="1"/>
        <i x="4" s="1"/>
        <i x="17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D SITE 1" xr10:uid="{C4084244-F396-4268-843F-F9BBED5AB706}" cache="SegmentaçãodeDados_ID_SITE1" caption="ID SITE" rowHeight="228600"/>
  <slicer name="CLIENTE 1" xr10:uid="{A50508F2-4C77-4F86-AAEB-F5A9691618AF}" cache="SegmentaçãodeDados_CLIENTE1" caption="CLIENT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B2FFC2-BE0E-424E-B55A-0BB3CA3DD61D}" name="Tabela1" displayName="Tabela1" ref="A1:T171" totalsRowShown="0" headerRowDxfId="113" dataDxfId="111" headerRowBorderDxfId="112" tableBorderDxfId="110">
  <autoFilter ref="A1:T171" xr:uid="{37B2FFC2-BE0E-424E-B55A-0BB3CA3DD61D}"/>
  <tableColumns count="20">
    <tableColumn id="1" xr3:uid="{320DAF2C-CCF3-498B-98C6-9C4A7EB36327}" name="ID SITE" dataDxfId="109"/>
    <tableColumn id="8" xr3:uid="{8C39F422-B3B2-4F04-A9D8-9E7C89676DC7}" name="IDEX CONTEL" dataDxfId="108">
      <calculatedColumnFormula>IF(A2&lt;&gt;"","contel-"&amp;TEXT(COUNTA($A$2:A2),"00"),"")</calculatedColumnFormula>
    </tableColumn>
    <tableColumn id="2" xr3:uid="{8F1D3334-45E5-4831-AE3C-50AE3915922D}" name="CLIENTE" dataDxfId="107"/>
    <tableColumn id="3" xr3:uid="{B45A4F03-210D-4402-BE77-D0E0BCEF4EB8}" name="CIDADE" dataDxfId="106"/>
    <tableColumn id="4" xr3:uid="{D428A0D4-1199-4754-9D4B-F17C504BF571}" name="ESTADO" dataDxfId="105"/>
    <tableColumn id="5" xr3:uid="{F46011AC-F536-4FDB-8FF7-D4B882111743}" name="LOCALIZAÇÃO" dataDxfId="104"/>
    <tableColumn id="6" xr3:uid="{AC934E30-7F94-4D8C-B85A-ACCC7CD31149}" name="SIENGE" dataDxfId="103"/>
    <tableColumn id="7" xr3:uid="{AE3558B5-4D2E-48C6-8563-ED7152506209}" name="OS TOWER SYSTEM" dataDxfId="102" dataCellStyle="Hyperlink"/>
    <tableColumn id="20" xr3:uid="{88D9E659-D30C-457E-8D90-B798229C96E3}" name="ANALISTA CONTEL" dataDxfId="101" dataCellStyle="Hyperlink"/>
    <tableColumn id="9" xr3:uid="{F6D0DD69-0931-4876-8EEF-39536C3C9882}" name="VALOR EMPREITA" dataDxfId="100" dataCellStyle="Moeda">
      <calculatedColumnFormula>SUM(EQUIPE!C2,EQUIPE!E2,EQUIPE!G2,EQUIPE!I2,EQUIPE!K2,EQUIPE!M2,EQUIPE!O2)</calculatedColumnFormula>
    </tableColumn>
    <tableColumn id="10" xr3:uid="{147EDBFA-2635-484A-892F-7F7778B1BC1B}" name="MATERIAL" dataDxfId="99" dataCellStyle="Moeda"/>
    <tableColumn id="11" xr3:uid="{9BC6E45F-5F08-4FF3-94FB-61F90114F883}" name="FRETE/DEMAIS ITENS" dataDxfId="98" dataCellStyle="Moeda"/>
    <tableColumn id="19" xr3:uid="{C864F2EE-5343-48B1-8845-75B0B549D5E6}" name="ETAPA " dataDxfId="97" dataCellStyle="Moeda">
      <calculatedColumnFormula>IFERROR(LEFT(
IF(INDEX('ETAPA OBRA'!C:C,MATCH($B2,'ETAPA OBRA'!$B:$B,0))="x",'ETAPA OBRA'!C$1&amp;", ","")&amp;
IF(INDEX('ETAPA OBRA'!D:D,MATCH($B2,'ETAPA OBRA'!$B:$B,0))="x",'ETAPA OBRA'!D$1&amp;", ","")&amp;
IF(INDEX('ETAPA OBRA'!F:F,MATCH($B2,'ETAPA OBRA'!$B:$B,0))="x",'ETAPA OBRA'!F$1&amp;", ","")&amp;
IF(INDEX('ETAPA OBRA'!G:G,MATCH($B2,'ETAPA OBRA'!$B:$B,0))="x",'ETAPA OBRA'!G$1&amp;", ","")&amp;
IF(INDEX('ETAPA OBRA'!H:H,MATCH($B2,'ETAPA OBRA'!$B:$B,0))="x",'ETAPA OBRA'!H$1&amp;", ","")&amp;
IF(INDEX('ETAPA OBRA'!I:I,MATCH($B2,'ETAPA OBRA'!$B:$B,0))="x",'ETAPA OBRA'!I$1&amp;", ","")&amp;
IF(INDEX('ETAPA OBRA'!J:J,MATCH($B2,'ETAPA OBRA'!$B:$B,0))="x",'ETAPA OBRA'!J$1&amp;", ","")&amp;
IF(INDEX('ETAPA OBRA'!K:K,MATCH($B2,'ETAPA OBRA'!$B:$B,0))="x",'ETAPA OBRA'!K$1&amp;", ","")&amp;
IF(INDEX('ETAPA OBRA'!L:L,MATCH($B2,'ETAPA OBRA'!$B:$B,0))="x",'ETAPA OBRA'!L$1&amp;", ","")&amp;
IF(INDEX('ETAPA OBRA'!M:M,MATCH($B2,'ETAPA OBRA'!$B:$B,0))="x",'ETAPA OBRA'!M$1&amp;", ","")&amp;
IF(INDEX('ETAPA OBRA'!N:N,MATCH($B2,'ETAPA OBRA'!$B:$B,0))="x",'ETAPA OBRA'!N$1&amp;", ","")&amp;
IF(INDEX('ETAPA OBRA'!O:O,MATCH($B2,'ETAPA OBRA'!$B:$B,0))="x",'ETAPA OBRA'!O$1&amp;", ","")&amp;
IF(INDEX('ETAPA OBRA'!P:P,MATCH($B2,'ETAPA OBRA'!$B:$B,0))="x",'ETAPA OBRA'!P$1&amp;", ","")&amp;
IF(INDEX('ETAPA OBRA'!Q:Q,MATCH($B2,'ETAPA OBRA'!$B:$B,0))="x",'ETAPA OBRA'!Q$1&amp;", ","")&amp;
IF(INDEX('ETAPA OBRA'!R:R,MATCH($B2,'ETAPA OBRA'!$B:$B,0))="x",'ETAPA OBRA'!R$1&amp;", ","")&amp;
IF(INDEX('ETAPA OBRA'!S:S,MATCH($B2,'ETAPA OBRA'!$B:$B,0))="x",'ETAPA OBRA'!S$1&amp;", ","")&amp;
IF(INDEX('ETAPA OBRA'!T:T,MATCH($B2,'ETAPA OBRA'!$B:$B,0))="x",'ETAPA OBRA'!T$1&amp;", ","")&amp;
IF(INDEX('ETAPA OBRA'!U:U,MATCH($B2,'ETAPA OBRA'!$B:$B,0))="x",'ETAPA OBRA'!U$1&amp;", ",""),LEN(
IF(INDEX('ETAPA OBRA'!C:C,MATCH($B2,'ETAPA OBRA'!$B:$B,0))="x",'ETAPA OBRA'!C$1&amp;", ","")&amp;
IF(INDEX('ETAPA OBRA'!D:D,MATCH($B2,'ETAPA OBRA'!$B:$B,0))="x",'ETAPA OBRA'!D$1&amp;", ","")&amp;
IF(INDEX('ETAPA OBRA'!F:F,MATCH($B2,'ETAPA OBRA'!$B:$B,0))="x",'ETAPA OBRA'!F$1&amp;", ","")&amp;
IF(INDEX('ETAPA OBRA'!G:G,MATCH($B2,'ETAPA OBRA'!$B:$B,0))="x",'ETAPA OBRA'!G$1&amp;", ","")&amp;
IF(INDEX('ETAPA OBRA'!H:H,MATCH($B2,'ETAPA OBRA'!$B:$B,0))="x",'ETAPA OBRA'!H$1&amp;", ","")&amp;
IF(INDEX('ETAPA OBRA'!I:I,MATCH($B2,'ETAPA OBRA'!$B:$B,0))="x",'ETAPA OBRA'!I$1&amp;", ","")&amp;
IF(INDEX('ETAPA OBRA'!J:J,MATCH($B2,'ETAPA OBRA'!$B:$B,0))="x",'ETAPA OBRA'!J$1&amp;", ","")&amp;
IF(INDEX('ETAPA OBRA'!K:K,MATCH($B2,'ETAPA OBRA'!$B:$B,0))="x",'ETAPA OBRA'!K$1&amp;", ","")&amp;
IF(INDEX('ETAPA OBRA'!L:L,MATCH($B2,'ETAPA OBRA'!$B:$B,0))="x",'ETAPA OBRA'!L$1&amp;", ","")&amp;
IF(INDEX('ETAPA OBRA'!M:M,MATCH($B2,'ETAPA OBRA'!$B:$B,0))="x",'ETAPA OBRA'!M$1&amp;", ","")&amp;
IF(INDEX('ETAPA OBRA'!N:N,MATCH($B2,'ETAPA OBRA'!$B:$B,0))="x",'ETAPA OBRA'!N$1&amp;", ","")&amp;
IF(INDEX('ETAPA OBRA'!O:O,MATCH($B2,'ETAPA OBRA'!$B:$B,0))="x",'ETAPA OBRA'!O$1&amp;", ","")&amp;
IF(INDEX('ETAPA OBRA'!P:P,MATCH($B2,'ETAPA OBRA'!$B:$B,0))="x",'ETAPA OBRA'!P$1&amp;", ","")&amp;
IF(INDEX('ETAPA OBRA'!Q:Q,MATCH($B2,'ETAPA OBRA'!$B:$B,0))="x",'ETAPA OBRA'!Q$1&amp;", ","")&amp;
IF(INDEX('ETAPA OBRA'!R:R,MATCH($B2,'ETAPA OBRA'!$B:$B,0))="x",'ETAPA OBRA'!R$1&amp;", ","")&amp;
IF(INDEX('ETAPA OBRA'!S:S,MATCH($B2,'ETAPA OBRA'!$B:$B,0))="x",'ETAPA OBRA'!S$1&amp;", ","")&amp;
IF(INDEX('ETAPA OBRA'!T:T,MATCH($B2,'ETAPA OBRA'!$B:$B,0))="x",'ETAPA OBRA'!T$1&amp;", ","")&amp;
IF(INDEX('ETAPA OBRA'!U:U,MATCH($B2,'ETAPA OBRA'!$B:$B,0))="x",'ETAPA OBRA'!U$1&amp;", ","")
)-2),"")</calculatedColumnFormula>
    </tableColumn>
    <tableColumn id="12" xr3:uid="{5A2F6A65-7E6A-4164-B048-6ED87C63AF97}" name="STATUS" dataDxfId="96">
      <calculatedColumnFormula>IF(M2="","Não iniciada",
IF(ISNUMBER(FIND("Cancelada",M2)),"Cancelada",
IF(ISNUMBER(FIND("Paralisada",M2)),"Paralisada",
IF(ISNUMBER(FIND("Finalizado",M2)),"Finalizado",
"Em andamento"))))</calculatedColumnFormula>
    </tableColumn>
    <tableColumn id="13" xr3:uid="{5FCD9E75-2096-46D9-8E66-FA5007BCF89B}" name="ORÇAMENTO (RECEITA) (R$)" dataDxfId="95" dataCellStyle="Moeda"/>
    <tableColumn id="14" xr3:uid="{D3CD19AF-3C8E-4592-8C84-6969175D3582}" name="CUSTOS TOTAIS (R$)" dataDxfId="94" dataCellStyle="Moeda">
      <calculatedColumnFormula>SUM($J2:$L2)</calculatedColumnFormula>
    </tableColumn>
    <tableColumn id="15" xr3:uid="{74D7D502-90E7-40D8-A358-C4A832BD1954}" name="LUCRO (R$)" dataDxfId="93" dataCellStyle="Moeda">
      <calculatedColumnFormula>O2-P2</calculatedColumnFormula>
    </tableColumn>
    <tableColumn id="16" xr3:uid="{E91C42E2-4E33-40F3-9E31-7C90943713DE}" name="M.C%" dataDxfId="92">
      <calculatedColumnFormula>IF(O2=0,0,Q2/O2)</calculatedColumnFormula>
    </tableColumn>
    <tableColumn id="17" xr3:uid="{8FA52CF0-C64E-4FE5-82E1-AD0D08C68E94}" name="STATUS VIABILIDADE" dataDxfId="91">
      <calculatedColumnFormula>IF(R2&gt;=0.2,"✅ OK - Fechar Parceiro","⚠️ Ajustar Custos (&lt;20%)")</calculatedColumnFormula>
    </tableColumn>
    <tableColumn id="18" xr3:uid="{FE1F33B5-DE00-49D3-895C-BFD6463F2DF8}" name="STATUS PRAZO" dataDxfId="90">
      <calculatedColumnFormula>Cronograma[[#This Row],[STATUS]]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4037BC-853A-4CDA-9252-E78A916A7655}" name="Tabela3" displayName="Tabela3" ref="A1:H185" headerRowDxfId="89" totalsRowDxfId="86" headerRowBorderDxfId="88" tableBorderDxfId="87" dataCellStyle="Moeda">
  <autoFilter ref="A1:H185" xr:uid="{2F4037BC-853A-4CDA-9252-E78A916A7655}"/>
  <tableColumns count="8">
    <tableColumn id="1" xr3:uid="{76516F6E-AB9B-4E96-99E5-619E4A1F53E4}" name="ID SITE" totalsRowLabel="Total" dataDxfId="85">
      <calculatedColumnFormula>IF(PLANEJAMENTO!A2="","",PLANEJAMENTO!A2)</calculatedColumnFormula>
    </tableColumn>
    <tableColumn id="2" xr3:uid="{715E5F73-2B19-4871-A251-EB9184D4E3C2}" name="EQUIPE 1" dataDxfId="84"/>
    <tableColumn id="3" xr3:uid="{2D2D379F-19B7-4202-A926-726B89F90995}" name="VALOR" dataDxfId="83" dataCellStyle="Moeda"/>
    <tableColumn id="4" xr3:uid="{57A1448A-55DF-4CEF-A605-0273E88AD443}" name="EQUIPE 2" dataDxfId="82"/>
    <tableColumn id="5" xr3:uid="{65B9BFC3-DAB2-49B7-9FE7-A62100E189EA}" name="VALOR2" dataDxfId="81" dataCellStyle="Moeda"/>
    <tableColumn id="6" xr3:uid="{5EF0A1AA-6EAF-46F4-B7B2-CA7C9A3652BA}" name="EQUIPE 3 " dataDxfId="80"/>
    <tableColumn id="7" xr3:uid="{A8D163DE-65D7-451E-B73B-2770A8DA2C8D}" name="VALOR3" totalsRowFunction="sum" dataDxfId="79" dataCellStyle="Moeda"/>
    <tableColumn id="8" xr3:uid="{440D0146-48E5-4C27-9A00-FCB1653D474F}" name="VALOR4" totalsRowDxfId="78" dataCellStyle="Moed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ronograma" displayName="Cronograma" ref="A1:K185" totalsRowShown="0" headerRowDxfId="77">
  <autoFilter ref="A1:K185" xr:uid="{00000000-0009-0000-0100-000002000000}"/>
  <sortState xmlns:xlrd2="http://schemas.microsoft.com/office/spreadsheetml/2017/richdata2" ref="A2:J49">
    <sortCondition ref="E1:E49"/>
  </sortState>
  <tableColumns count="11">
    <tableColumn id="1" xr3:uid="{00000000-0010-0000-0100-000001000000}" name="ID SITE" dataDxfId="76">
      <calculatedColumnFormula>IF(PLANEJAMENTO!A2="","",PLANEJAMENTO!A2)</calculatedColumnFormula>
    </tableColumn>
    <tableColumn id="11" xr3:uid="{468CB476-5C13-49AF-8F56-946BE6149EB2}" name="IDEX CONTEL" dataDxfId="75">
      <calculatedColumnFormula>IF(PLANEJAMENTO!B2="","",PLANEJAMENTO!B2)</calculatedColumnFormula>
    </tableColumn>
    <tableColumn id="10" xr3:uid="{C0627CF6-D9B1-4DEB-810C-47C05DE9BF92}" name="CIDADE" dataDxfId="74">
      <calculatedColumnFormula>IF(PLANEJAMENTO!D2="","",PLANEJAMENTO!D2)</calculatedColumnFormula>
    </tableColumn>
    <tableColumn id="9" xr3:uid="{E2BC00FA-1223-4F0F-BD61-DFDA52BC4E7B}" name="CLIENTE" dataDxfId="73">
      <calculatedColumnFormula>IF(PLANEJAMENTO!C2="","",PLANEJAMENTO!C2)</calculatedColumnFormula>
    </tableColumn>
    <tableColumn id="8" xr3:uid="{00000000-0010-0000-0100-000008000000}" name="SIENGE" dataDxfId="72">
      <calculatedColumnFormula>IF(PLANEJAMENTO!G2="","",PLANEJAMENTO!G2)</calculatedColumnFormula>
    </tableColumn>
    <tableColumn id="3" xr3:uid="{00000000-0010-0000-0100-000003000000}" name="DURAÇÃO (dias)">
      <calculatedColumnFormula>IF(AND(G2&lt;&gt;"",H2&lt;&gt;""),H2-G2+1,"")</calculatedColumnFormula>
    </tableColumn>
    <tableColumn id="4" xr3:uid="{00000000-0010-0000-0100-000004000000}" name="INÍCIO" dataDxfId="71"/>
    <tableColumn id="5" xr3:uid="{00000000-0010-0000-0100-000005000000}" name="FIM" dataDxfId="70"/>
    <tableColumn id="6" xr3:uid="{00000000-0010-0000-0100-000006000000}" name="STATUS" dataDxfId="69">
      <calculatedColumnFormula>IF(K2="FINALIZADO","✅ CONCLUÍDO",
   IF(K2="PARALISADO","⚠️ PARALISADO",IF(K2="CANCELADO","🚫CANCELADO",
      IF(J2="","🕓 EM ANDAMENTO",
         IF(J2&lt;0,"⏰ ATRASADO",
            "🕓 EM ANDAMENTO"
         )
      )
   )
))</calculatedColumnFormula>
    </tableColumn>
    <tableColumn id="7" xr3:uid="{00000000-0010-0000-0100-000007000000}" name="DIAS RESTANTES" dataDxfId="68">
      <calculatedColumnFormula>IF(K2="FINALIZADO",0,IF(ISBLANK(H2),"",H2-TODAY()))</calculatedColumnFormula>
    </tableColumn>
    <tableColumn id="2" xr3:uid="{00000000-0010-0000-0100-000002000000}" name="CHECKBOX"/>
  </tableColumns>
  <tableStyleInfo name="TableStyleLight8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0E214E-1AF0-4236-AC4F-955406284E5C}" name="Tabela4" displayName="Tabela4" ref="A1:T185" totalsRowShown="0" headerRowDxfId="67">
  <autoFilter ref="A1:T185" xr:uid="{3D0E214E-1AF0-4236-AC4F-955406284E5C}"/>
  <tableColumns count="20">
    <tableColumn id="1" xr3:uid="{EECCF730-36BE-4016-9830-B2975409EB3C}" name="ID SITE" dataDxfId="66">
      <calculatedColumnFormula>IF(PLANEJAMENTO!A2="","",PLANEJAMENTO!A2)</calculatedColumnFormula>
    </tableColumn>
    <tableColumn id="17" xr3:uid="{F146A758-FA95-46D0-8657-C8370750981C}" name="IDEX CONTEL" dataDxfId="65">
      <calculatedColumnFormula>IF(PLANEJAMENTO!B2="","",PLANEJAMENTO!B2)</calculatedColumnFormula>
    </tableColumn>
    <tableColumn id="2" xr3:uid="{02546B56-BEE4-49B9-8C7F-262B157844E0}" name="Abertura de obra" dataDxfId="64"/>
    <tableColumn id="3" xr3:uid="{39D50736-1395-46A0-8F96-07F08B392654}" name="Elaboração de cronograma" dataDxfId="63"/>
    <tableColumn id="18" xr3:uid="{DA73FFBF-FA9D-4D7D-91AA-836D6AA6E7CC}" name="Cotação Parceiro" dataDxfId="62"/>
    <tableColumn id="4" xr3:uid="{6E602663-0FE2-4D54-BA8E-0DB6343678EF}" name="Mapeamento" dataDxfId="61"/>
    <tableColumn id="5" xr3:uid="{7103928D-98E5-4C66-A6B2-8F5A61FE2FD1}" name="Projeto" dataDxfId="60"/>
    <tableColumn id="6" xr3:uid="{B5F62AA8-7934-4A92-95F7-C4DFED234B6E}" name="Homologação" dataDxfId="59"/>
    <tableColumn id="7" xr3:uid="{CD4FF734-B689-43AF-AE4D-C0325F8D128D}" name="Solicitar acesso" dataDxfId="58"/>
    <tableColumn id="8" xr3:uid="{0FBC46C9-D3FF-437C-A714-48509A60813A}" name="Compra de material" dataDxfId="57"/>
    <tableColumn id="9" xr3:uid="{3B11A86D-A789-4C77-B648-FCBF47891251}" name="Fabricação / Galvanização" dataDxfId="56"/>
    <tableColumn id="10" xr3:uid="{52E3285C-4C59-41C7-8B0B-0A0B5788CF4E}" name="Survey" dataDxfId="55"/>
    <tableColumn id="11" xr3:uid="{C29E2B37-A544-40DE-81DA-05A96C3B74A8}" name="Pintura" dataDxfId="54"/>
    <tableColumn id="12" xr3:uid="{85344C13-7696-41D1-B14C-6AD99D2FE21E}" name="Envio de material" dataDxfId="53"/>
    <tableColumn id="13" xr3:uid="{CC469800-AACE-4F5D-851C-C9DDFC75BA7E}" name="Execução" dataDxfId="52"/>
    <tableColumn id="14" xr3:uid="{2DAC3279-F85C-46A8-84C7-4BE1DCC7309D}" name="Laudo de verticalidade" dataDxfId="51"/>
    <tableColumn id="15" xr3:uid="{A3B703C7-8E63-42BF-A5E8-108259AC15CC}" name="Envio RFI " dataDxfId="50"/>
    <tableColumn id="19" xr3:uid="{7F93D67D-64EF-4695-8230-1E1022B5DDDA}" name="Paralisada" dataDxfId="49"/>
    <tableColumn id="20" xr3:uid="{717D8DDC-6D85-4629-B88C-4A627EE17675}" name="Cancelada" dataDxfId="48"/>
    <tableColumn id="16" xr3:uid="{36273EE7-D16D-40D3-9AC5-B3F3C70BE18B}" name="Finalizado" dataDxfId="47">
      <calculatedColumnFormula>IFERROR(
IF(
UPPER(TRIM(_xlfn.XLOOKUP(B2,PLANEJAMENTO!B:B,PLANEJAMENTO!T:T)))="✅ CONCLUÍDO",
"x",
""
),
"")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s.contel.com.br/operational/activities/27103/edit" TargetMode="External"/><Relationship Id="rId299" Type="http://schemas.openxmlformats.org/officeDocument/2006/relationships/hyperlink" Target="https://ts.contel.com.br/operational/activities/26942/edit" TargetMode="External"/><Relationship Id="rId21" Type="http://schemas.openxmlformats.org/officeDocument/2006/relationships/hyperlink" Target="https://ts.contel.com.br/operational/activities/12737/edit" TargetMode="External"/><Relationship Id="rId63" Type="http://schemas.openxmlformats.org/officeDocument/2006/relationships/hyperlink" Target="https://ts.contel.com.br/operational/activities/16679/edit" TargetMode="External"/><Relationship Id="rId159" Type="http://schemas.openxmlformats.org/officeDocument/2006/relationships/hyperlink" Target="https://maps.app.goo.gl/fWBGywBc7ew56GDf6" TargetMode="External"/><Relationship Id="rId324" Type="http://schemas.openxmlformats.org/officeDocument/2006/relationships/hyperlink" Target="https://maps.app.goo.gl/hocWfzeXp8mxgmYM6" TargetMode="External"/><Relationship Id="rId170" Type="http://schemas.openxmlformats.org/officeDocument/2006/relationships/hyperlink" Target="https://maps.app.goo.gl/oNpjFDZUnzw5kCBu5" TargetMode="External"/><Relationship Id="rId226" Type="http://schemas.openxmlformats.org/officeDocument/2006/relationships/hyperlink" Target="https://maps.app.goo.gl/qsQaptv1wGNZRp687" TargetMode="External"/><Relationship Id="rId268" Type="http://schemas.openxmlformats.org/officeDocument/2006/relationships/hyperlink" Target="https://maps.app.goo.gl/skXcFZfpsuNDrEDg9" TargetMode="External"/><Relationship Id="rId32" Type="http://schemas.openxmlformats.org/officeDocument/2006/relationships/hyperlink" Target="https://ts.contel.com.br/operational/activities/15333/edit" TargetMode="External"/><Relationship Id="rId74" Type="http://schemas.openxmlformats.org/officeDocument/2006/relationships/hyperlink" Target="https://ts.contel.com.br/operational/activities/26529/edit" TargetMode="External"/><Relationship Id="rId128" Type="http://schemas.openxmlformats.org/officeDocument/2006/relationships/hyperlink" Target="https://ts.contel.com.br/operational/activities/27841/edit" TargetMode="External"/><Relationship Id="rId335" Type="http://schemas.openxmlformats.org/officeDocument/2006/relationships/hyperlink" Target="https://ts.contel.com.br/operational/activities/15942/edit" TargetMode="External"/><Relationship Id="rId5" Type="http://schemas.openxmlformats.org/officeDocument/2006/relationships/hyperlink" Target="https://ts.contel.com.br/operational/activities/16035/edit" TargetMode="External"/><Relationship Id="rId181" Type="http://schemas.openxmlformats.org/officeDocument/2006/relationships/hyperlink" Target="https://maps.app.goo.gl/HFovyHWufKmwEPhS7" TargetMode="External"/><Relationship Id="rId237" Type="http://schemas.openxmlformats.org/officeDocument/2006/relationships/hyperlink" Target="https://maps.app.goo.gl/s79H3VuwHxJV3wdH8" TargetMode="External"/><Relationship Id="rId279" Type="http://schemas.openxmlformats.org/officeDocument/2006/relationships/hyperlink" Target="https://maps.app.goo.gl/6XSB4fW184dzH5vx9" TargetMode="External"/><Relationship Id="rId43" Type="http://schemas.openxmlformats.org/officeDocument/2006/relationships/hyperlink" Target="https://ts.contel.com.br/operational/activities/12768/edit" TargetMode="External"/><Relationship Id="rId139" Type="http://schemas.openxmlformats.org/officeDocument/2006/relationships/hyperlink" Target="https://ts.contel.com.br/operational/activities/27878/edit" TargetMode="External"/><Relationship Id="rId290" Type="http://schemas.openxmlformats.org/officeDocument/2006/relationships/hyperlink" Target="https://maps.app.goo.gl/ivPbjkanNtXwF6ad9" TargetMode="External"/><Relationship Id="rId304" Type="http://schemas.openxmlformats.org/officeDocument/2006/relationships/hyperlink" Target="https://maps.app.goo.gl/49h1noC3GdiDwEjD9" TargetMode="External"/><Relationship Id="rId85" Type="http://schemas.openxmlformats.org/officeDocument/2006/relationships/hyperlink" Target="https://ts.contel.com.br/operational/activities/26733/edit" TargetMode="External"/><Relationship Id="rId150" Type="http://schemas.openxmlformats.org/officeDocument/2006/relationships/hyperlink" Target="https://maps.app.goo.gl/QdG7puZ7e7jJzaxS9" TargetMode="External"/><Relationship Id="rId192" Type="http://schemas.openxmlformats.org/officeDocument/2006/relationships/hyperlink" Target="https://maps.app.goo.gl/rscrAFiPXU4f3kmD9" TargetMode="External"/><Relationship Id="rId206" Type="http://schemas.openxmlformats.org/officeDocument/2006/relationships/hyperlink" Target="https://maps.app.goo.gl/bVHR4YzBtG4xjtc59" TargetMode="External"/><Relationship Id="rId248" Type="http://schemas.openxmlformats.org/officeDocument/2006/relationships/hyperlink" Target="https://maps.app.goo.gl/5qQGn2GhMXHUvan37" TargetMode="External"/><Relationship Id="rId12" Type="http://schemas.openxmlformats.org/officeDocument/2006/relationships/hyperlink" Target="https://ts.contel.com.br/operational/activities/15969/edit" TargetMode="External"/><Relationship Id="rId108" Type="http://schemas.openxmlformats.org/officeDocument/2006/relationships/hyperlink" Target="https://ts.contel.com.br/operational/activities/10941/edit" TargetMode="External"/><Relationship Id="rId315" Type="http://schemas.openxmlformats.org/officeDocument/2006/relationships/hyperlink" Target="https://maps.app.goo.gl/1U7Lpr6Gi6Q9F1E26" TargetMode="External"/><Relationship Id="rId54" Type="http://schemas.openxmlformats.org/officeDocument/2006/relationships/hyperlink" Target="https://ts.contel.com.br/operational/activities/16612/edit" TargetMode="External"/><Relationship Id="rId96" Type="http://schemas.openxmlformats.org/officeDocument/2006/relationships/hyperlink" Target="https://ts.contel.com.br/operational/activities/3036/edit" TargetMode="External"/><Relationship Id="rId161" Type="http://schemas.openxmlformats.org/officeDocument/2006/relationships/hyperlink" Target="https://maps.app.goo.gl/1tFooPuf357rJP9D8" TargetMode="External"/><Relationship Id="rId217" Type="http://schemas.openxmlformats.org/officeDocument/2006/relationships/hyperlink" Target="https://maps.app.goo.gl/x1ypXbqe8iuyDWMg6" TargetMode="External"/><Relationship Id="rId259" Type="http://schemas.openxmlformats.org/officeDocument/2006/relationships/hyperlink" Target="https://maps.app.goo.gl/pb5T8W7y5oLpvynD6" TargetMode="External"/><Relationship Id="rId23" Type="http://schemas.openxmlformats.org/officeDocument/2006/relationships/hyperlink" Target="https://ts.contel.com.br/operational/activities/15324/edit" TargetMode="External"/><Relationship Id="rId119" Type="http://schemas.openxmlformats.org/officeDocument/2006/relationships/hyperlink" Target="https://ts.contel.com.br/operational/activities/27101/edit" TargetMode="External"/><Relationship Id="rId270" Type="http://schemas.openxmlformats.org/officeDocument/2006/relationships/hyperlink" Target="https://maps.app.goo.gl/q5ZDKuK8me88bxCP8" TargetMode="External"/><Relationship Id="rId326" Type="http://schemas.openxmlformats.org/officeDocument/2006/relationships/hyperlink" Target="https://maps.app.goo.gl/b436xVT5jq5BGn767" TargetMode="External"/><Relationship Id="rId65" Type="http://schemas.openxmlformats.org/officeDocument/2006/relationships/hyperlink" Target="https://ts.contel.com.br/operational/activities/16693/edit" TargetMode="External"/><Relationship Id="rId130" Type="http://schemas.openxmlformats.org/officeDocument/2006/relationships/hyperlink" Target="https://ts.contel.com.br/operational/activities/27846/edit" TargetMode="External"/><Relationship Id="rId172" Type="http://schemas.openxmlformats.org/officeDocument/2006/relationships/hyperlink" Target="https://maps.app.goo.gl/VUg623hsokWvzGNL7" TargetMode="External"/><Relationship Id="rId228" Type="http://schemas.openxmlformats.org/officeDocument/2006/relationships/hyperlink" Target="https://maps.app.goo.gl/v9UgZk4G1VHo75Pu8" TargetMode="External"/><Relationship Id="rId281" Type="http://schemas.openxmlformats.org/officeDocument/2006/relationships/hyperlink" Target="https://maps.app.goo.gl/vTW4AG4iCWDnq6Q46" TargetMode="External"/><Relationship Id="rId337" Type="http://schemas.openxmlformats.org/officeDocument/2006/relationships/hyperlink" Target="https://ts.contel.com.br/operational/activities/3972/edit" TargetMode="External"/><Relationship Id="rId34" Type="http://schemas.openxmlformats.org/officeDocument/2006/relationships/hyperlink" Target="https://ts.contel.com.br/operational/activities/12706/edit" TargetMode="External"/><Relationship Id="rId76" Type="http://schemas.openxmlformats.org/officeDocument/2006/relationships/hyperlink" Target="https://ts.contel.com.br/operational/activities/20043/edit" TargetMode="External"/><Relationship Id="rId141" Type="http://schemas.openxmlformats.org/officeDocument/2006/relationships/hyperlink" Target="https://maps.app.goo.gl/TnE3sh9j2FyxrzrFA" TargetMode="External"/><Relationship Id="rId7" Type="http://schemas.openxmlformats.org/officeDocument/2006/relationships/hyperlink" Target="https://ts.contel.com.br/operational/activities/16211/edit" TargetMode="External"/><Relationship Id="rId183" Type="http://schemas.openxmlformats.org/officeDocument/2006/relationships/hyperlink" Target="https://maps.app.goo.gl/r8AHFEoD8WkpjFcf9" TargetMode="External"/><Relationship Id="rId239" Type="http://schemas.openxmlformats.org/officeDocument/2006/relationships/hyperlink" Target="https://maps.app.goo.gl/VQcpgukyfpgabmVW7" TargetMode="External"/><Relationship Id="rId250" Type="http://schemas.openxmlformats.org/officeDocument/2006/relationships/hyperlink" Target="https://maps.app.goo.gl/BzDRnLZ8NEL9Tz6o8" TargetMode="External"/><Relationship Id="rId292" Type="http://schemas.openxmlformats.org/officeDocument/2006/relationships/hyperlink" Target="https://maps.app.goo.gl/4k3BNvVq8GPdWTfv5" TargetMode="External"/><Relationship Id="rId306" Type="http://schemas.openxmlformats.org/officeDocument/2006/relationships/hyperlink" Target="https://ts.contel.com.br/operational/activities/3606/edit" TargetMode="External"/><Relationship Id="rId45" Type="http://schemas.openxmlformats.org/officeDocument/2006/relationships/hyperlink" Target="https://ts.contel.com.br/operational/activities/12766/edit" TargetMode="External"/><Relationship Id="rId87" Type="http://schemas.openxmlformats.org/officeDocument/2006/relationships/hyperlink" Target="https://ts.contel.com.br/operational/activities/26741/edit" TargetMode="External"/><Relationship Id="rId110" Type="http://schemas.openxmlformats.org/officeDocument/2006/relationships/hyperlink" Target="https://ts.contel.com.br/operational/activities/16598/edit" TargetMode="External"/><Relationship Id="rId152" Type="http://schemas.openxmlformats.org/officeDocument/2006/relationships/hyperlink" Target="https://maps.app.goo.gl/JvgFFfP11CD6h1yB9" TargetMode="External"/><Relationship Id="rId173" Type="http://schemas.openxmlformats.org/officeDocument/2006/relationships/hyperlink" Target="https://maps.app.goo.gl/N5Xkt4MkHP63V4dR9" TargetMode="External"/><Relationship Id="rId194" Type="http://schemas.openxmlformats.org/officeDocument/2006/relationships/hyperlink" Target="https://maps.app.goo.gl/e8XhgqR2tJcNbtGL8" TargetMode="External"/><Relationship Id="rId208" Type="http://schemas.openxmlformats.org/officeDocument/2006/relationships/hyperlink" Target="https://maps.app.goo.gl/Sin5JLSmbvkHjBk27" TargetMode="External"/><Relationship Id="rId229" Type="http://schemas.openxmlformats.org/officeDocument/2006/relationships/hyperlink" Target="https://maps.app.goo.gl/WaGrFBd7bzCFcKf59" TargetMode="External"/><Relationship Id="rId240" Type="http://schemas.openxmlformats.org/officeDocument/2006/relationships/hyperlink" Target="https://maps.app.goo.gl/iorvEXW9Cyo81yJUA" TargetMode="External"/><Relationship Id="rId261" Type="http://schemas.openxmlformats.org/officeDocument/2006/relationships/hyperlink" Target="https://maps.app.goo.gl/ZDsuUpGQdxx87K1j6" TargetMode="External"/><Relationship Id="rId14" Type="http://schemas.openxmlformats.org/officeDocument/2006/relationships/hyperlink" Target="https://ts.contel.com.br/operational/activities/3941/edit" TargetMode="External"/><Relationship Id="rId35" Type="http://schemas.openxmlformats.org/officeDocument/2006/relationships/hyperlink" Target="https://ts.contel.com.br/operational/activities/12725/edit" TargetMode="External"/><Relationship Id="rId56" Type="http://schemas.openxmlformats.org/officeDocument/2006/relationships/hyperlink" Target="https://ts.contel.com.br/operational/activities/16616/edit" TargetMode="External"/><Relationship Id="rId77" Type="http://schemas.openxmlformats.org/officeDocument/2006/relationships/hyperlink" Target="https://ts.contel.com.br/operational/activities/13494/edit" TargetMode="External"/><Relationship Id="rId100" Type="http://schemas.openxmlformats.org/officeDocument/2006/relationships/hyperlink" Target="https://ts.contel.com.br/operational/activities/3527/edit" TargetMode="External"/><Relationship Id="rId282" Type="http://schemas.openxmlformats.org/officeDocument/2006/relationships/hyperlink" Target="https://maps.app.goo.gl/ZUd4D9m16p8Q8mYC9" TargetMode="External"/><Relationship Id="rId317" Type="http://schemas.openxmlformats.org/officeDocument/2006/relationships/hyperlink" Target="https://ts.contel.com.br/operational/activities/28247/edit" TargetMode="External"/><Relationship Id="rId338" Type="http://schemas.openxmlformats.org/officeDocument/2006/relationships/printerSettings" Target="../printerSettings/printerSettings1.bin"/><Relationship Id="rId8" Type="http://schemas.openxmlformats.org/officeDocument/2006/relationships/hyperlink" Target="https://ts.contel.com.br/operational/activities/16104/edit" TargetMode="External"/><Relationship Id="rId98" Type="http://schemas.openxmlformats.org/officeDocument/2006/relationships/hyperlink" Target="https://ts.contel.com.br/operational/activities/26781/edit" TargetMode="External"/><Relationship Id="rId121" Type="http://schemas.openxmlformats.org/officeDocument/2006/relationships/hyperlink" Target="https://ts.contel.com.br/operational/activities/27215/edit" TargetMode="External"/><Relationship Id="rId142" Type="http://schemas.openxmlformats.org/officeDocument/2006/relationships/hyperlink" Target="https://maps.app.goo.gl/bDw3NrGp12dDrPb6A" TargetMode="External"/><Relationship Id="rId163" Type="http://schemas.openxmlformats.org/officeDocument/2006/relationships/hyperlink" Target="https://maps.app.goo.gl/x5UuxwokiE5T9WiF8" TargetMode="External"/><Relationship Id="rId184" Type="http://schemas.openxmlformats.org/officeDocument/2006/relationships/hyperlink" Target="https://maps.app.goo.gl/Bepn5D7ufzR15vem9" TargetMode="External"/><Relationship Id="rId219" Type="http://schemas.openxmlformats.org/officeDocument/2006/relationships/hyperlink" Target="https://maps.app.goo.gl/Lq5ZYM9byE52fhZGA" TargetMode="External"/><Relationship Id="rId230" Type="http://schemas.openxmlformats.org/officeDocument/2006/relationships/hyperlink" Target="https://maps.app.goo.gl/vcfrt9gKLf1AbHY87" TargetMode="External"/><Relationship Id="rId251" Type="http://schemas.openxmlformats.org/officeDocument/2006/relationships/hyperlink" Target="https://maps.app.goo.gl/3q7zmUF366FEVdmq8" TargetMode="External"/><Relationship Id="rId25" Type="http://schemas.openxmlformats.org/officeDocument/2006/relationships/hyperlink" Target="https://ts.contel.com.br/operational/activities/13533/edit" TargetMode="External"/><Relationship Id="rId46" Type="http://schemas.openxmlformats.org/officeDocument/2006/relationships/hyperlink" Target="https://ts.contel.com.br/operational/activities/12765/edit" TargetMode="External"/><Relationship Id="rId67" Type="http://schemas.openxmlformats.org/officeDocument/2006/relationships/hyperlink" Target="https://ts.contel.com.br/operational/activities/16677/edit" TargetMode="External"/><Relationship Id="rId272" Type="http://schemas.openxmlformats.org/officeDocument/2006/relationships/hyperlink" Target="https://maps.app.goo.gl/fPDjWpcieomXrtqV7" TargetMode="External"/><Relationship Id="rId293" Type="http://schemas.openxmlformats.org/officeDocument/2006/relationships/hyperlink" Target="https://ts.contel.com.br/operational/activities/26945/edit" TargetMode="External"/><Relationship Id="rId307" Type="http://schemas.openxmlformats.org/officeDocument/2006/relationships/hyperlink" Target="https://ts.contel.com.br/operational/activities/16706/edit" TargetMode="External"/><Relationship Id="rId328" Type="http://schemas.openxmlformats.org/officeDocument/2006/relationships/hyperlink" Target="https://maps.app.goo.gl/bDcNTBEr5Xe5AdQy5" TargetMode="External"/><Relationship Id="rId88" Type="http://schemas.openxmlformats.org/officeDocument/2006/relationships/hyperlink" Target="https://ts.contel.com.br/operational/activities/26729/edit" TargetMode="External"/><Relationship Id="rId111" Type="http://schemas.openxmlformats.org/officeDocument/2006/relationships/hyperlink" Target="https://ts.contel.com.br/operational/activities/3806/edit" TargetMode="External"/><Relationship Id="rId132" Type="http://schemas.openxmlformats.org/officeDocument/2006/relationships/hyperlink" Target="https://ts.contel.com.br/operational/activities/27850/edit" TargetMode="External"/><Relationship Id="rId153" Type="http://schemas.openxmlformats.org/officeDocument/2006/relationships/hyperlink" Target="https://maps.app.goo.gl/rkUwhhpPfBuKEvyx7" TargetMode="External"/><Relationship Id="rId174" Type="http://schemas.openxmlformats.org/officeDocument/2006/relationships/hyperlink" Target="https://maps.app.goo.gl/npWnZoZopih99hbX7" TargetMode="External"/><Relationship Id="rId195" Type="http://schemas.openxmlformats.org/officeDocument/2006/relationships/hyperlink" Target="https://maps.app.goo.gl/KJjNZ6fD7giBqKgNA" TargetMode="External"/><Relationship Id="rId209" Type="http://schemas.openxmlformats.org/officeDocument/2006/relationships/hyperlink" Target="https://maps.app.goo.gl/HUHXqFR3XdHpM1jG9" TargetMode="External"/><Relationship Id="rId220" Type="http://schemas.openxmlformats.org/officeDocument/2006/relationships/hyperlink" Target="https://maps.app.goo.gl/LXQceEw8mfhTQUKn9" TargetMode="External"/><Relationship Id="rId241" Type="http://schemas.openxmlformats.org/officeDocument/2006/relationships/hyperlink" Target="https://maps.app.goo.gl/ty9NBSW9B2sigVuAA" TargetMode="External"/><Relationship Id="rId15" Type="http://schemas.openxmlformats.org/officeDocument/2006/relationships/hyperlink" Target="https://ts.contel.com.br/operational/activities/15926/edit" TargetMode="External"/><Relationship Id="rId36" Type="http://schemas.openxmlformats.org/officeDocument/2006/relationships/hyperlink" Target="https://ts.contel.com.br/operational/activities/12710/edit" TargetMode="External"/><Relationship Id="rId57" Type="http://schemas.openxmlformats.org/officeDocument/2006/relationships/hyperlink" Target="https://ts.contel.com.br/operational/activities/16617/edit" TargetMode="External"/><Relationship Id="rId262" Type="http://schemas.openxmlformats.org/officeDocument/2006/relationships/hyperlink" Target="https://maps.app.goo.gl/WgFEVFoLc8BrDTgZA" TargetMode="External"/><Relationship Id="rId283" Type="http://schemas.openxmlformats.org/officeDocument/2006/relationships/hyperlink" Target="https://ts.contel.com.br/operational/activities/26950/edit" TargetMode="External"/><Relationship Id="rId318" Type="http://schemas.openxmlformats.org/officeDocument/2006/relationships/hyperlink" Target="https://ts.contel.com.br/operational/activities/28246/edit" TargetMode="External"/><Relationship Id="rId339" Type="http://schemas.openxmlformats.org/officeDocument/2006/relationships/table" Target="../tables/table1.xml"/><Relationship Id="rId78" Type="http://schemas.openxmlformats.org/officeDocument/2006/relationships/hyperlink" Target="https://ts.contel.com.br/operational/activities/26566/edit" TargetMode="External"/><Relationship Id="rId99" Type="http://schemas.openxmlformats.org/officeDocument/2006/relationships/hyperlink" Target="https://ts.contel.com.br/operational/activities/26900/edit" TargetMode="External"/><Relationship Id="rId101" Type="http://schemas.openxmlformats.org/officeDocument/2006/relationships/hyperlink" Target="https://ts.contel.com.br/operational/activities/26905/edit" TargetMode="External"/><Relationship Id="rId122" Type="http://schemas.openxmlformats.org/officeDocument/2006/relationships/hyperlink" Target="https://ts.contel.com.br/operational/activities/27798/edit" TargetMode="External"/><Relationship Id="rId143" Type="http://schemas.openxmlformats.org/officeDocument/2006/relationships/hyperlink" Target="https://maps.app.goo.gl/5FumfAyzjMHGaKJY8" TargetMode="External"/><Relationship Id="rId164" Type="http://schemas.openxmlformats.org/officeDocument/2006/relationships/hyperlink" Target="https://maps.app.goo.gl/Th38PhYKAncLipZ27" TargetMode="External"/><Relationship Id="rId185" Type="http://schemas.openxmlformats.org/officeDocument/2006/relationships/hyperlink" Target="https://maps.app.goo.gl/VokggY1T4pBEDC1fA" TargetMode="External"/><Relationship Id="rId9" Type="http://schemas.openxmlformats.org/officeDocument/2006/relationships/hyperlink" Target="https://ts.contel.com.br/operational/activities/16080/edit" TargetMode="External"/><Relationship Id="rId210" Type="http://schemas.openxmlformats.org/officeDocument/2006/relationships/hyperlink" Target="https://maps.app.goo.gl/HJwM6jyWjd5wY7ZK8" TargetMode="External"/><Relationship Id="rId26" Type="http://schemas.openxmlformats.org/officeDocument/2006/relationships/hyperlink" Target="https://ts.contel.com.br/operational/activities/15836/edit" TargetMode="External"/><Relationship Id="rId231" Type="http://schemas.openxmlformats.org/officeDocument/2006/relationships/hyperlink" Target="https://maps.app.goo.gl/2A2y88uHnsUmC5j8A" TargetMode="External"/><Relationship Id="rId252" Type="http://schemas.openxmlformats.org/officeDocument/2006/relationships/hyperlink" Target="https://maps.app.goo.gl/BogBqZ2i1MjVR37g7" TargetMode="External"/><Relationship Id="rId273" Type="http://schemas.openxmlformats.org/officeDocument/2006/relationships/hyperlink" Target="https://ts.contel.com.br/operational/activities/27045/edit" TargetMode="External"/><Relationship Id="rId294" Type="http://schemas.openxmlformats.org/officeDocument/2006/relationships/hyperlink" Target="https://maps.app.goo.gl/BzzXa9GTLdp32Ugh8" TargetMode="External"/><Relationship Id="rId308" Type="http://schemas.openxmlformats.org/officeDocument/2006/relationships/hyperlink" Target="https://maps.app.goo.gl/NZPVe6SWsyuxYXiz7" TargetMode="External"/><Relationship Id="rId329" Type="http://schemas.openxmlformats.org/officeDocument/2006/relationships/hyperlink" Target="https://ts.contel.com.br/operational/activities/28709/edit" TargetMode="External"/><Relationship Id="rId47" Type="http://schemas.openxmlformats.org/officeDocument/2006/relationships/hyperlink" Target="https://ts.contel.com.br/operational/activities/12764/edit" TargetMode="External"/><Relationship Id="rId68" Type="http://schemas.openxmlformats.org/officeDocument/2006/relationships/hyperlink" Target="https://ts.contel.com.br/operational/activities/16691/edit" TargetMode="External"/><Relationship Id="rId89" Type="http://schemas.openxmlformats.org/officeDocument/2006/relationships/hyperlink" Target="https://ts.contel.com.br/operational/activities/26730/edit" TargetMode="External"/><Relationship Id="rId112" Type="http://schemas.openxmlformats.org/officeDocument/2006/relationships/hyperlink" Target="https://ts.contel.com.br/operational/activities/16196/edit" TargetMode="External"/><Relationship Id="rId133" Type="http://schemas.openxmlformats.org/officeDocument/2006/relationships/hyperlink" Target="https://ts.contel.com.br/operational/activities/27853/edit" TargetMode="External"/><Relationship Id="rId154" Type="http://schemas.openxmlformats.org/officeDocument/2006/relationships/hyperlink" Target="https://maps.app.goo.gl/1h4ggSVzz3kafxQu8" TargetMode="External"/><Relationship Id="rId175" Type="http://schemas.openxmlformats.org/officeDocument/2006/relationships/hyperlink" Target="https://maps.app.goo.gl/8QBsETzKzhLbBjuU9" TargetMode="External"/><Relationship Id="rId196" Type="http://schemas.openxmlformats.org/officeDocument/2006/relationships/hyperlink" Target="https://maps.app.goo.gl/G5rypL41VaPKyhY96" TargetMode="External"/><Relationship Id="rId200" Type="http://schemas.openxmlformats.org/officeDocument/2006/relationships/hyperlink" Target="https://maps.app.goo.gl/N1wQuUwkLKh5rKzy5" TargetMode="External"/><Relationship Id="rId16" Type="http://schemas.openxmlformats.org/officeDocument/2006/relationships/hyperlink" Target="https://ts.contel.com.br/operational/activities/15925/edit" TargetMode="External"/><Relationship Id="rId221" Type="http://schemas.openxmlformats.org/officeDocument/2006/relationships/hyperlink" Target="https://maps.app.goo.gl/5oZ66QsoUhn4549a8" TargetMode="External"/><Relationship Id="rId242" Type="http://schemas.openxmlformats.org/officeDocument/2006/relationships/hyperlink" Target="https://maps.app.goo.gl/bDcNTBEr5Xe5AdQy5" TargetMode="External"/><Relationship Id="rId263" Type="http://schemas.openxmlformats.org/officeDocument/2006/relationships/hyperlink" Target="https://maps.app.goo.gl/skXcFZfpsuNDrEDg9" TargetMode="External"/><Relationship Id="rId284" Type="http://schemas.openxmlformats.org/officeDocument/2006/relationships/hyperlink" Target="https://maps.app.goo.gl/c3nmacL3eJ36qKWX9" TargetMode="External"/><Relationship Id="rId319" Type="http://schemas.openxmlformats.org/officeDocument/2006/relationships/hyperlink" Target="https://ts.contel.com.br/operational/activities/28245/edit" TargetMode="External"/><Relationship Id="rId37" Type="http://schemas.openxmlformats.org/officeDocument/2006/relationships/hyperlink" Target="https://ts.contel.com.br/operational/activities/12709/edit" TargetMode="External"/><Relationship Id="rId58" Type="http://schemas.openxmlformats.org/officeDocument/2006/relationships/hyperlink" Target="https://ts.contel.com.br/operational/activities/16620/edit" TargetMode="External"/><Relationship Id="rId79" Type="http://schemas.openxmlformats.org/officeDocument/2006/relationships/hyperlink" Target="https://ts.contel.com.br/operational/activities/26595/edit" TargetMode="External"/><Relationship Id="rId102" Type="http://schemas.openxmlformats.org/officeDocument/2006/relationships/hyperlink" Target="https://ts.contel.com.br/operational/activities/26967/edit" TargetMode="External"/><Relationship Id="rId123" Type="http://schemas.openxmlformats.org/officeDocument/2006/relationships/hyperlink" Target="https://ts.contel.com.br/operational/activities/27791/edit" TargetMode="External"/><Relationship Id="rId144" Type="http://schemas.openxmlformats.org/officeDocument/2006/relationships/hyperlink" Target="https://maps.app.goo.gl/GEmH9t4Wq3nsX1C89" TargetMode="External"/><Relationship Id="rId330" Type="http://schemas.openxmlformats.org/officeDocument/2006/relationships/hyperlink" Target="https://ts.contel.com.br/operational/activities/28710/edit" TargetMode="External"/><Relationship Id="rId90" Type="http://schemas.openxmlformats.org/officeDocument/2006/relationships/hyperlink" Target="https://ts.contel.com.br/operational/activities/15827/edit" TargetMode="External"/><Relationship Id="rId165" Type="http://schemas.openxmlformats.org/officeDocument/2006/relationships/hyperlink" Target="https://maps.app.goo.gl/P8HNKAFEt5Vyn9ov6" TargetMode="External"/><Relationship Id="rId186" Type="http://schemas.openxmlformats.org/officeDocument/2006/relationships/hyperlink" Target="https://maps.app.goo.gl/WvGETYRYMzUG6boy7" TargetMode="External"/><Relationship Id="rId211" Type="http://schemas.openxmlformats.org/officeDocument/2006/relationships/hyperlink" Target="https://maps.app.goo.gl/ZDBPEhcqDvvbH4qP7" TargetMode="External"/><Relationship Id="rId232" Type="http://schemas.openxmlformats.org/officeDocument/2006/relationships/hyperlink" Target="https://maps.app.goo.gl/rdzBb461qeisgEP99" TargetMode="External"/><Relationship Id="rId253" Type="http://schemas.openxmlformats.org/officeDocument/2006/relationships/hyperlink" Target="https://maps.app.goo.gl/8et7BvHnuTg9TZ9q7" TargetMode="External"/><Relationship Id="rId274" Type="http://schemas.openxmlformats.org/officeDocument/2006/relationships/hyperlink" Target="https://maps.app.goo.gl/rPjaibvp1eNUBsj9A" TargetMode="External"/><Relationship Id="rId295" Type="http://schemas.openxmlformats.org/officeDocument/2006/relationships/hyperlink" Target="https://ts.contel.com.br/operational/activities/26944/edit" TargetMode="External"/><Relationship Id="rId309" Type="http://schemas.openxmlformats.org/officeDocument/2006/relationships/hyperlink" Target="https://ts.contel.com.br/operational/activities/16116/edit" TargetMode="External"/><Relationship Id="rId27" Type="http://schemas.openxmlformats.org/officeDocument/2006/relationships/hyperlink" Target="https://ts.contel.com.br/operational/activities/15837/edit" TargetMode="External"/><Relationship Id="rId48" Type="http://schemas.openxmlformats.org/officeDocument/2006/relationships/hyperlink" Target="https://ts.contel.com.br/operational/activities/12763/edit" TargetMode="External"/><Relationship Id="rId69" Type="http://schemas.openxmlformats.org/officeDocument/2006/relationships/hyperlink" Target="https://ts.contel.com.br/operational/activities/16694/edit" TargetMode="External"/><Relationship Id="rId113" Type="http://schemas.openxmlformats.org/officeDocument/2006/relationships/hyperlink" Target="https://ts.contel.com.br/operational/activities/16112/edit" TargetMode="External"/><Relationship Id="rId134" Type="http://schemas.openxmlformats.org/officeDocument/2006/relationships/hyperlink" Target="https://ts.contel.com.br/operational/activities/27855/edit" TargetMode="External"/><Relationship Id="rId320" Type="http://schemas.openxmlformats.org/officeDocument/2006/relationships/hyperlink" Target="https://maps.app.goo.gl/MVRSMTgrZE34oNzz5" TargetMode="External"/><Relationship Id="rId80" Type="http://schemas.openxmlformats.org/officeDocument/2006/relationships/hyperlink" Target="https://ts.contel.com.br/operational/activities/26622/edit" TargetMode="External"/><Relationship Id="rId155" Type="http://schemas.openxmlformats.org/officeDocument/2006/relationships/hyperlink" Target="https://maps.app.goo.gl/uvof1bnwmBQ7UHtf8" TargetMode="External"/><Relationship Id="rId176" Type="http://schemas.openxmlformats.org/officeDocument/2006/relationships/hyperlink" Target="https://maps.app.goo.gl/fBQrT9S3bA8zB2eRA" TargetMode="External"/><Relationship Id="rId197" Type="http://schemas.openxmlformats.org/officeDocument/2006/relationships/hyperlink" Target="https://maps.app.goo.gl/vjZG9MgpsTMJVSvq8" TargetMode="External"/><Relationship Id="rId201" Type="http://schemas.openxmlformats.org/officeDocument/2006/relationships/hyperlink" Target="https://maps.app.goo.gl/XbAM1sR9FwVJQKhz9" TargetMode="External"/><Relationship Id="rId222" Type="http://schemas.openxmlformats.org/officeDocument/2006/relationships/hyperlink" Target="https://maps.app.goo.gl/Z9GNmgnqWeg3fJbcA" TargetMode="External"/><Relationship Id="rId243" Type="http://schemas.openxmlformats.org/officeDocument/2006/relationships/hyperlink" Target="https://maps.app.goo.gl/SqXXYWnpCJmNH51Z8" TargetMode="External"/><Relationship Id="rId264" Type="http://schemas.openxmlformats.org/officeDocument/2006/relationships/hyperlink" Target="https://maps.app.goo.gl/Cxy5WuL4hxQrf8Qj7" TargetMode="External"/><Relationship Id="rId285" Type="http://schemas.openxmlformats.org/officeDocument/2006/relationships/hyperlink" Target="https://ts.contel.com.br/operational/activities/26949/edit" TargetMode="External"/><Relationship Id="rId17" Type="http://schemas.openxmlformats.org/officeDocument/2006/relationships/hyperlink" Target="https://ts.contel.com.br/operational/activities/15902/edit" TargetMode="External"/><Relationship Id="rId38" Type="http://schemas.openxmlformats.org/officeDocument/2006/relationships/hyperlink" Target="https://ts.contel.com.br/operational/activities/12708/edit" TargetMode="External"/><Relationship Id="rId59" Type="http://schemas.openxmlformats.org/officeDocument/2006/relationships/hyperlink" Target="https://ts.contel.com.br/operational/activities/16625/edit" TargetMode="External"/><Relationship Id="rId103" Type="http://schemas.openxmlformats.org/officeDocument/2006/relationships/hyperlink" Target="https://ts.contel.com.br/operational/activities/26973/edit" TargetMode="External"/><Relationship Id="rId124" Type="http://schemas.openxmlformats.org/officeDocument/2006/relationships/hyperlink" Target="https://ts.contel.com.br/operational/activities/4017/edit" TargetMode="External"/><Relationship Id="rId310" Type="http://schemas.openxmlformats.org/officeDocument/2006/relationships/hyperlink" Target="https://maps.app.goo.gl/ARuSqgsmuvRSpQP77" TargetMode="External"/><Relationship Id="rId70" Type="http://schemas.openxmlformats.org/officeDocument/2006/relationships/hyperlink" Target="https://ts.contel.com.br/operational/activities/16717/edit" TargetMode="External"/><Relationship Id="rId91" Type="http://schemas.openxmlformats.org/officeDocument/2006/relationships/hyperlink" Target="https://ts.contel.com.br/operational/activities/15938/edit" TargetMode="External"/><Relationship Id="rId145" Type="http://schemas.openxmlformats.org/officeDocument/2006/relationships/hyperlink" Target="https://maps.app.goo.gl/NzQT4s3F2LTnY1nW9" TargetMode="External"/><Relationship Id="rId166" Type="http://schemas.openxmlformats.org/officeDocument/2006/relationships/hyperlink" Target="https://maps.app.goo.gl/ibnvYNKzMmz9czhu9" TargetMode="External"/><Relationship Id="rId187" Type="http://schemas.openxmlformats.org/officeDocument/2006/relationships/hyperlink" Target="https://maps.app.goo.gl/wJjfjRyTwZ1F2UfW8" TargetMode="External"/><Relationship Id="rId331" Type="http://schemas.openxmlformats.org/officeDocument/2006/relationships/hyperlink" Target="https://ts.contel.com.br/operational/activities/26979/edit" TargetMode="External"/><Relationship Id="rId1" Type="http://schemas.openxmlformats.org/officeDocument/2006/relationships/hyperlink" Target="https://ts.contel.com.br/operational/activities/16545/edit" TargetMode="External"/><Relationship Id="rId212" Type="http://schemas.openxmlformats.org/officeDocument/2006/relationships/hyperlink" Target="https://maps.app.goo.gl/S1HY4DQj146ChMiu6" TargetMode="External"/><Relationship Id="rId233" Type="http://schemas.openxmlformats.org/officeDocument/2006/relationships/hyperlink" Target="https://maps.app.goo.gl/fvgLg9mCbFezteco6" TargetMode="External"/><Relationship Id="rId254" Type="http://schemas.openxmlformats.org/officeDocument/2006/relationships/hyperlink" Target="https://maps.app.goo.gl/PiSDc62WdKBprhCd6" TargetMode="External"/><Relationship Id="rId28" Type="http://schemas.openxmlformats.org/officeDocument/2006/relationships/hyperlink" Target="https://ts.contel.com.br/operational/activities/15835/edit" TargetMode="External"/><Relationship Id="rId49" Type="http://schemas.openxmlformats.org/officeDocument/2006/relationships/hyperlink" Target="https://ts.contel.com.br/operational/activities/4014/edit" TargetMode="External"/><Relationship Id="rId114" Type="http://schemas.openxmlformats.org/officeDocument/2006/relationships/hyperlink" Target="https://ts.contel.com.br/operational/activities/3983/edit" TargetMode="External"/><Relationship Id="rId275" Type="http://schemas.openxmlformats.org/officeDocument/2006/relationships/hyperlink" Target="https://maps.app.goo.gl/paxKVQ3uTVjUuZXT9" TargetMode="External"/><Relationship Id="rId296" Type="http://schemas.openxmlformats.org/officeDocument/2006/relationships/hyperlink" Target="https://maps.app.goo.gl/bx26vkdGg7bU8EFD9" TargetMode="External"/><Relationship Id="rId300" Type="http://schemas.openxmlformats.org/officeDocument/2006/relationships/hyperlink" Target="https://maps.app.goo.gl/guy4hGiFmBETnWUQ9" TargetMode="External"/><Relationship Id="rId60" Type="http://schemas.openxmlformats.org/officeDocument/2006/relationships/hyperlink" Target="https://ts.contel.com.br/operational/activities/16632/edit" TargetMode="External"/><Relationship Id="rId81" Type="http://schemas.openxmlformats.org/officeDocument/2006/relationships/hyperlink" Target="https://ts.contel.com.br/operational/activities/26623/edit" TargetMode="External"/><Relationship Id="rId135" Type="http://schemas.openxmlformats.org/officeDocument/2006/relationships/hyperlink" Target="https://ts.contel.com.br/operational/activities/27842/edit" TargetMode="External"/><Relationship Id="rId156" Type="http://schemas.openxmlformats.org/officeDocument/2006/relationships/hyperlink" Target="https://maps.app.goo.gl/NXVPhzLsuvYKgB5N9" TargetMode="External"/><Relationship Id="rId177" Type="http://schemas.openxmlformats.org/officeDocument/2006/relationships/hyperlink" Target="https://maps.app.goo.gl/n686QmNcfcBo1fvn9" TargetMode="External"/><Relationship Id="rId198" Type="http://schemas.openxmlformats.org/officeDocument/2006/relationships/hyperlink" Target="https://maps.app.goo.gl/i999QxrEM8jV9vnk6" TargetMode="External"/><Relationship Id="rId321" Type="http://schemas.openxmlformats.org/officeDocument/2006/relationships/hyperlink" Target="https://maps.app.goo.gl/GNd1vwATVpk2kbzy7" TargetMode="External"/><Relationship Id="rId202" Type="http://schemas.openxmlformats.org/officeDocument/2006/relationships/hyperlink" Target="https://maps.app.goo.gl/o4fxhd8ivBszjV7P9" TargetMode="External"/><Relationship Id="rId223" Type="http://schemas.openxmlformats.org/officeDocument/2006/relationships/hyperlink" Target="https://maps.app.goo.gl/tNwDZEiEZkeZ1tw97" TargetMode="External"/><Relationship Id="rId244" Type="http://schemas.openxmlformats.org/officeDocument/2006/relationships/hyperlink" Target="https://maps.app.goo.gl/q98g7tnRJuhjS8Ts6" TargetMode="External"/><Relationship Id="rId18" Type="http://schemas.openxmlformats.org/officeDocument/2006/relationships/hyperlink" Target="https://ts.contel.com.br/operational/activities/15913/edit" TargetMode="External"/><Relationship Id="rId39" Type="http://schemas.openxmlformats.org/officeDocument/2006/relationships/hyperlink" Target="https://ts.contel.com.br/operational/activities/12707/edit" TargetMode="External"/><Relationship Id="rId265" Type="http://schemas.openxmlformats.org/officeDocument/2006/relationships/hyperlink" Target="https://ts.contel.com.br/operational/activities/26728/edit" TargetMode="External"/><Relationship Id="rId286" Type="http://schemas.openxmlformats.org/officeDocument/2006/relationships/hyperlink" Target="https://maps.app.goo.gl/nr2kk8P5wJ43iKH87" TargetMode="External"/><Relationship Id="rId50" Type="http://schemas.openxmlformats.org/officeDocument/2006/relationships/hyperlink" Target="https://ts.contel.com.br/operational/activities/15870/edit" TargetMode="External"/><Relationship Id="rId104" Type="http://schemas.openxmlformats.org/officeDocument/2006/relationships/hyperlink" Target="https://ts.contel.com.br/operational/activities/16004/edit" TargetMode="External"/><Relationship Id="rId125" Type="http://schemas.openxmlformats.org/officeDocument/2006/relationships/hyperlink" Target="https://ts.contel.com.br/operational/activities/27847/edit" TargetMode="External"/><Relationship Id="rId146" Type="http://schemas.openxmlformats.org/officeDocument/2006/relationships/hyperlink" Target="https://maps.app.goo.gl/FhvvJXRy7LcsaaeZ7" TargetMode="External"/><Relationship Id="rId167" Type="http://schemas.openxmlformats.org/officeDocument/2006/relationships/hyperlink" Target="https://maps.app.goo.gl/NaUq9UiMxWyawAK88" TargetMode="External"/><Relationship Id="rId188" Type="http://schemas.openxmlformats.org/officeDocument/2006/relationships/hyperlink" Target="https://maps.app.goo.gl/4TvE41PdJAX1vPoFA" TargetMode="External"/><Relationship Id="rId311" Type="http://schemas.openxmlformats.org/officeDocument/2006/relationships/hyperlink" Target="https://ts.contel.com.br/operational/activities/28221/edit" TargetMode="External"/><Relationship Id="rId332" Type="http://schemas.openxmlformats.org/officeDocument/2006/relationships/hyperlink" Target="https://maps.app.goo.gl/LSnUkKvUxFXntyix6" TargetMode="External"/><Relationship Id="rId71" Type="http://schemas.openxmlformats.org/officeDocument/2006/relationships/hyperlink" Target="https://ts.contel.com.br/operational/activities/26516/edit" TargetMode="External"/><Relationship Id="rId92" Type="http://schemas.openxmlformats.org/officeDocument/2006/relationships/hyperlink" Target="https://ts.contel.com.br/operational/activities/4039/edit" TargetMode="External"/><Relationship Id="rId213" Type="http://schemas.openxmlformats.org/officeDocument/2006/relationships/hyperlink" Target="https://maps.app.goo.gl/iAWYqPj3GvkPwJiY8" TargetMode="External"/><Relationship Id="rId234" Type="http://schemas.openxmlformats.org/officeDocument/2006/relationships/hyperlink" Target="https://maps.app.goo.gl/MuvKaqKAWuaPWHwM9" TargetMode="External"/><Relationship Id="rId2" Type="http://schemas.openxmlformats.org/officeDocument/2006/relationships/hyperlink" Target="https://ts.contel.com.br/operational/activities/3763/edit" TargetMode="External"/><Relationship Id="rId29" Type="http://schemas.openxmlformats.org/officeDocument/2006/relationships/hyperlink" Target="https://ts.contel.com.br/operational/activities/15839/edit" TargetMode="External"/><Relationship Id="rId255" Type="http://schemas.openxmlformats.org/officeDocument/2006/relationships/hyperlink" Target="https://maps.app.goo.gl/pbfXPaW1m1mJiUYV6" TargetMode="External"/><Relationship Id="rId276" Type="http://schemas.openxmlformats.org/officeDocument/2006/relationships/hyperlink" Target="https://maps.app.goo.gl/nb5xXfmqkHqRJ9x99" TargetMode="External"/><Relationship Id="rId297" Type="http://schemas.openxmlformats.org/officeDocument/2006/relationships/hyperlink" Target="https://ts.contel.com.br/operational/activities/26943/edit" TargetMode="External"/><Relationship Id="rId40" Type="http://schemas.openxmlformats.org/officeDocument/2006/relationships/hyperlink" Target="https://ts.contel.com.br/operational/activities/12771/edit" TargetMode="External"/><Relationship Id="rId115" Type="http://schemas.openxmlformats.org/officeDocument/2006/relationships/hyperlink" Target="https://ts.contel.com.br/operational/activities/27037/edit" TargetMode="External"/><Relationship Id="rId136" Type="http://schemas.openxmlformats.org/officeDocument/2006/relationships/hyperlink" Target="https://ts.contel.com.br/operational/activities/3528/edit" TargetMode="External"/><Relationship Id="rId157" Type="http://schemas.openxmlformats.org/officeDocument/2006/relationships/hyperlink" Target="https://maps.app.goo.gl/MWc2BT2qkhFx9HeCA" TargetMode="External"/><Relationship Id="rId178" Type="http://schemas.openxmlformats.org/officeDocument/2006/relationships/hyperlink" Target="https://maps.app.goo.gl/8uUT7xPyXoD7n6R97" TargetMode="External"/><Relationship Id="rId301" Type="http://schemas.openxmlformats.org/officeDocument/2006/relationships/hyperlink" Target="https://ts.contel.com.br/operational/activities/27885/edit" TargetMode="External"/><Relationship Id="rId322" Type="http://schemas.openxmlformats.org/officeDocument/2006/relationships/hyperlink" Target="https://maps.app.goo.gl/p4FhgC9fLtKroJ6z6" TargetMode="External"/><Relationship Id="rId61" Type="http://schemas.openxmlformats.org/officeDocument/2006/relationships/hyperlink" Target="https://ts.contel.com.br/operational/activities/16638/edit" TargetMode="External"/><Relationship Id="rId82" Type="http://schemas.openxmlformats.org/officeDocument/2006/relationships/hyperlink" Target="https://ts.contel.com.br/operational/activities/26624/edit" TargetMode="External"/><Relationship Id="rId199" Type="http://schemas.openxmlformats.org/officeDocument/2006/relationships/hyperlink" Target="https://maps.app.goo.gl/ijbNQA37KiTB22228" TargetMode="External"/><Relationship Id="rId203" Type="http://schemas.openxmlformats.org/officeDocument/2006/relationships/hyperlink" Target="https://maps.app.goo.gl/YAEePw8DBaigcEbi7" TargetMode="External"/><Relationship Id="rId19" Type="http://schemas.openxmlformats.org/officeDocument/2006/relationships/hyperlink" Target="https://ts.contel.com.br/operational/activities/15864/edit" TargetMode="External"/><Relationship Id="rId224" Type="http://schemas.openxmlformats.org/officeDocument/2006/relationships/hyperlink" Target="https://maps.app.goo.gl/LSnUkKvUxFXntyix6" TargetMode="External"/><Relationship Id="rId245" Type="http://schemas.openxmlformats.org/officeDocument/2006/relationships/hyperlink" Target="https://maps.app.goo.gl/yiXwt45KJveJFabi9" TargetMode="External"/><Relationship Id="rId266" Type="http://schemas.openxmlformats.org/officeDocument/2006/relationships/hyperlink" Target="https://maps.app.goo.gl/YNNEgmN8eAfRSHV77" TargetMode="External"/><Relationship Id="rId287" Type="http://schemas.openxmlformats.org/officeDocument/2006/relationships/hyperlink" Target="https://ts.contel.com.br/operational/activities/26948/edit" TargetMode="External"/><Relationship Id="rId30" Type="http://schemas.openxmlformats.org/officeDocument/2006/relationships/hyperlink" Target="https://ts.contel.com.br/operational/activities/15375/edit" TargetMode="External"/><Relationship Id="rId105" Type="http://schemas.openxmlformats.org/officeDocument/2006/relationships/hyperlink" Target="https://ts.contel.com.br/operational/activities/3807/edit" TargetMode="External"/><Relationship Id="rId126" Type="http://schemas.openxmlformats.org/officeDocument/2006/relationships/hyperlink" Target="https://ts.contel.com.br/operational/activities/27852/edit" TargetMode="External"/><Relationship Id="rId147" Type="http://schemas.openxmlformats.org/officeDocument/2006/relationships/hyperlink" Target="https://maps.app.goo.gl/3RSxxC8eTf2D8Cmh8" TargetMode="External"/><Relationship Id="rId168" Type="http://schemas.openxmlformats.org/officeDocument/2006/relationships/hyperlink" Target="https://maps.app.goo.gl/XDA6UGmYcU343Qkj6" TargetMode="External"/><Relationship Id="rId312" Type="http://schemas.openxmlformats.org/officeDocument/2006/relationships/hyperlink" Target="https://maps.app.goo.gl/yymiNGcxpWdiJ4w7A" TargetMode="External"/><Relationship Id="rId333" Type="http://schemas.openxmlformats.org/officeDocument/2006/relationships/hyperlink" Target="https://ts.contel.com.br/operational/activities/28715/edit" TargetMode="External"/><Relationship Id="rId51" Type="http://schemas.openxmlformats.org/officeDocument/2006/relationships/hyperlink" Target="https://ts.contel.com.br/operational/activities/16078/edit" TargetMode="External"/><Relationship Id="rId72" Type="http://schemas.openxmlformats.org/officeDocument/2006/relationships/hyperlink" Target="https://ts.contel.com.br/operational/activities/26517/edit" TargetMode="External"/><Relationship Id="rId93" Type="http://schemas.openxmlformats.org/officeDocument/2006/relationships/hyperlink" Target="https://ts.contel.com.br/operational/activities/4020/edit" TargetMode="External"/><Relationship Id="rId189" Type="http://schemas.openxmlformats.org/officeDocument/2006/relationships/hyperlink" Target="https://maps.app.goo.gl/T1N7nRJkEsbzh7ZR8" TargetMode="External"/><Relationship Id="rId3" Type="http://schemas.openxmlformats.org/officeDocument/2006/relationships/hyperlink" Target="https://ts.contel.com.br/operational/activities/16483/edit" TargetMode="External"/><Relationship Id="rId214" Type="http://schemas.openxmlformats.org/officeDocument/2006/relationships/hyperlink" Target="https://maps.app.goo.gl/uVXDjniecgMFdrLf7" TargetMode="External"/><Relationship Id="rId235" Type="http://schemas.openxmlformats.org/officeDocument/2006/relationships/hyperlink" Target="https://maps.app.goo.gl/BWYmz2vR4KdRyDWcA" TargetMode="External"/><Relationship Id="rId256" Type="http://schemas.openxmlformats.org/officeDocument/2006/relationships/hyperlink" Target="https://maps.app.goo.gl/9ycX6BAwSopjENXA8" TargetMode="External"/><Relationship Id="rId277" Type="http://schemas.openxmlformats.org/officeDocument/2006/relationships/hyperlink" Target="https://maps.app.goo.gl/6XSB4fW184dzH5vx9" TargetMode="External"/><Relationship Id="rId298" Type="http://schemas.openxmlformats.org/officeDocument/2006/relationships/hyperlink" Target="https://maps.app.goo.gl/Zm91HsdyFT5f5V3s5" TargetMode="External"/><Relationship Id="rId116" Type="http://schemas.openxmlformats.org/officeDocument/2006/relationships/hyperlink" Target="https://ts.contel.com.br/operational/activities/27102/edit" TargetMode="External"/><Relationship Id="rId137" Type="http://schemas.openxmlformats.org/officeDocument/2006/relationships/hyperlink" Target="https://ts.contel.com.br/operational/activities/12761/edit" TargetMode="External"/><Relationship Id="rId158" Type="http://schemas.openxmlformats.org/officeDocument/2006/relationships/hyperlink" Target="https://maps.app.goo.gl/68P1u6qzLNHyVJf99" TargetMode="External"/><Relationship Id="rId302" Type="http://schemas.openxmlformats.org/officeDocument/2006/relationships/hyperlink" Target="https://maps.app.goo.gl/caMykh6qZbbThaW36" TargetMode="External"/><Relationship Id="rId323" Type="http://schemas.openxmlformats.org/officeDocument/2006/relationships/hyperlink" Target="https://maps.app.goo.gl/zeyzFykff6fUKiTL7" TargetMode="External"/><Relationship Id="rId20" Type="http://schemas.openxmlformats.org/officeDocument/2006/relationships/hyperlink" Target="https://ts.contel.com.br/operational/activities/15833/edit" TargetMode="External"/><Relationship Id="rId41" Type="http://schemas.openxmlformats.org/officeDocument/2006/relationships/hyperlink" Target="https://ts.contel.com.br/operational/activities/12770/edit" TargetMode="External"/><Relationship Id="rId62" Type="http://schemas.openxmlformats.org/officeDocument/2006/relationships/hyperlink" Target="https://ts.contel.com.br/operational/activities/16668/edit" TargetMode="External"/><Relationship Id="rId83" Type="http://schemas.openxmlformats.org/officeDocument/2006/relationships/hyperlink" Target="https://ts.contel.com.br/operational/activities/26656/edit" TargetMode="External"/><Relationship Id="rId179" Type="http://schemas.openxmlformats.org/officeDocument/2006/relationships/hyperlink" Target="https://maps.app.goo.gl/q5P5ZKvDoPXqxSJW9" TargetMode="External"/><Relationship Id="rId190" Type="http://schemas.openxmlformats.org/officeDocument/2006/relationships/hyperlink" Target="https://maps.app.goo.gl/y91XuH55yPYwvmAw9" TargetMode="External"/><Relationship Id="rId204" Type="http://schemas.openxmlformats.org/officeDocument/2006/relationships/hyperlink" Target="https://maps.app.goo.gl/GQsw2YcvcTF9vCbU9" TargetMode="External"/><Relationship Id="rId225" Type="http://schemas.openxmlformats.org/officeDocument/2006/relationships/hyperlink" Target="https://maps.app.goo.gl/s2G195KrffKjBL5D8" TargetMode="External"/><Relationship Id="rId246" Type="http://schemas.openxmlformats.org/officeDocument/2006/relationships/hyperlink" Target="https://maps.app.goo.gl/nTPTUtMwisLnkS5AA" TargetMode="External"/><Relationship Id="rId267" Type="http://schemas.openxmlformats.org/officeDocument/2006/relationships/hyperlink" Target="https://maps.app.goo.gl/QFL6EzGr6PcDXbFx8" TargetMode="External"/><Relationship Id="rId288" Type="http://schemas.openxmlformats.org/officeDocument/2006/relationships/hyperlink" Target="https://maps.app.goo.gl/NcL4H7T97LpCRgtRA" TargetMode="External"/><Relationship Id="rId106" Type="http://schemas.openxmlformats.org/officeDocument/2006/relationships/hyperlink" Target="https://ts.contel.com.br/operational/activities/3808/edit" TargetMode="External"/><Relationship Id="rId127" Type="http://schemas.openxmlformats.org/officeDocument/2006/relationships/hyperlink" Target="https://ts.contel.com.br/operational/activities/27854/edit" TargetMode="External"/><Relationship Id="rId313" Type="http://schemas.openxmlformats.org/officeDocument/2006/relationships/hyperlink" Target="https://maps.app.goo.gl/kNs5VTEqaHwSDbeH8" TargetMode="External"/><Relationship Id="rId10" Type="http://schemas.openxmlformats.org/officeDocument/2006/relationships/hyperlink" Target="https://ts.contel.com.br/operational/activities/16050/edit" TargetMode="External"/><Relationship Id="rId31" Type="http://schemas.openxmlformats.org/officeDocument/2006/relationships/hyperlink" Target="https://ts.contel.com.br/operational/activities/15339/edit" TargetMode="External"/><Relationship Id="rId52" Type="http://schemas.openxmlformats.org/officeDocument/2006/relationships/hyperlink" Target="https://ts.contel.com.br/operational/activities/15869/edit" TargetMode="External"/><Relationship Id="rId73" Type="http://schemas.openxmlformats.org/officeDocument/2006/relationships/hyperlink" Target="https://ts.contel.com.br/operational/activities/26520/edit" TargetMode="External"/><Relationship Id="rId94" Type="http://schemas.openxmlformats.org/officeDocument/2006/relationships/hyperlink" Target="https://ts.contel.com.br/operational/activities/3783/edit" TargetMode="External"/><Relationship Id="rId148" Type="http://schemas.openxmlformats.org/officeDocument/2006/relationships/hyperlink" Target="https://maps.app.goo.gl/mHsLofcw4vKxRipE6" TargetMode="External"/><Relationship Id="rId169" Type="http://schemas.openxmlformats.org/officeDocument/2006/relationships/hyperlink" Target="https://maps.app.goo.gl/MZEmbX8dZ75Y1n2FA" TargetMode="External"/><Relationship Id="rId334" Type="http://schemas.openxmlformats.org/officeDocument/2006/relationships/hyperlink" Target="https://maps.app.goo.gl/vfbSXRPsCS1RL9oN7" TargetMode="External"/><Relationship Id="rId4" Type="http://schemas.openxmlformats.org/officeDocument/2006/relationships/hyperlink" Target="https://ts.contel.com.br/operational/activities/16249/edit" TargetMode="External"/><Relationship Id="rId180" Type="http://schemas.openxmlformats.org/officeDocument/2006/relationships/hyperlink" Target="https://maps.app.goo.gl/sViMeVAQPNYsMdCb6" TargetMode="External"/><Relationship Id="rId215" Type="http://schemas.openxmlformats.org/officeDocument/2006/relationships/hyperlink" Target="https://maps.app.goo.gl/5te1bUJri7MBDYNw6" TargetMode="External"/><Relationship Id="rId236" Type="http://schemas.openxmlformats.org/officeDocument/2006/relationships/hyperlink" Target="https://maps.app.goo.gl/PLBmjq1gyofNCB3K6" TargetMode="External"/><Relationship Id="rId257" Type="http://schemas.openxmlformats.org/officeDocument/2006/relationships/hyperlink" Target="https://maps.app.goo.gl/C6xeHqqi5QAHUqMh9" TargetMode="External"/><Relationship Id="rId278" Type="http://schemas.openxmlformats.org/officeDocument/2006/relationships/hyperlink" Target="https://maps.app.goo.gl/Dz9ty2nk4qyTtuXL6" TargetMode="External"/><Relationship Id="rId303" Type="http://schemas.openxmlformats.org/officeDocument/2006/relationships/hyperlink" Target="https://ts.contel.com.br/operational/activities/27030/edit" TargetMode="External"/><Relationship Id="rId42" Type="http://schemas.openxmlformats.org/officeDocument/2006/relationships/hyperlink" Target="https://ts.contel.com.br/operational/activities/12769/edit" TargetMode="External"/><Relationship Id="rId84" Type="http://schemas.openxmlformats.org/officeDocument/2006/relationships/hyperlink" Target="https://ts.contel.com.br/operational/activities/26739/edit" TargetMode="External"/><Relationship Id="rId138" Type="http://schemas.openxmlformats.org/officeDocument/2006/relationships/hyperlink" Target="https://ts.contel.com.br/operational/activities/27044/edit" TargetMode="External"/><Relationship Id="rId191" Type="http://schemas.openxmlformats.org/officeDocument/2006/relationships/hyperlink" Target="https://maps.app.goo.gl/R79HG9WpuJaawnCV8" TargetMode="External"/><Relationship Id="rId205" Type="http://schemas.openxmlformats.org/officeDocument/2006/relationships/hyperlink" Target="https://maps.app.goo.gl/Kn7DSsa6VLknYCGs5" TargetMode="External"/><Relationship Id="rId247" Type="http://schemas.openxmlformats.org/officeDocument/2006/relationships/hyperlink" Target="https://maps.app.goo.gl/ceWk4HEAnhAWYT2V7" TargetMode="External"/><Relationship Id="rId107" Type="http://schemas.openxmlformats.org/officeDocument/2006/relationships/hyperlink" Target="https://ts.contel.com.br/operational/activities/3802/edit" TargetMode="External"/><Relationship Id="rId289" Type="http://schemas.openxmlformats.org/officeDocument/2006/relationships/hyperlink" Target="https://ts.contel.com.br/operational/activities/26947/edit" TargetMode="External"/><Relationship Id="rId11" Type="http://schemas.openxmlformats.org/officeDocument/2006/relationships/hyperlink" Target="https://ts.contel.com.br/operational/activities/16079/edit" TargetMode="External"/><Relationship Id="rId53" Type="http://schemas.openxmlformats.org/officeDocument/2006/relationships/hyperlink" Target="https://ts.contel.com.br/operational/activities/16581/edit" TargetMode="External"/><Relationship Id="rId149" Type="http://schemas.openxmlformats.org/officeDocument/2006/relationships/hyperlink" Target="https://maps.app.goo.gl/JBh7GfA722cC6J6y7" TargetMode="External"/><Relationship Id="rId314" Type="http://schemas.openxmlformats.org/officeDocument/2006/relationships/hyperlink" Target="https://ts.contel.com.br/operational/activities/28228/edit" TargetMode="External"/><Relationship Id="rId95" Type="http://schemas.openxmlformats.org/officeDocument/2006/relationships/hyperlink" Target="https://ts.contel.com.br/operational/activities/3968/edit" TargetMode="External"/><Relationship Id="rId160" Type="http://schemas.openxmlformats.org/officeDocument/2006/relationships/hyperlink" Target="https://maps.app.goo.gl/3gc9w3hEnFXqD5bL8" TargetMode="External"/><Relationship Id="rId216" Type="http://schemas.openxmlformats.org/officeDocument/2006/relationships/hyperlink" Target="https://maps.app.goo.gl/TbEen9M4dimW85mT9" TargetMode="External"/><Relationship Id="rId258" Type="http://schemas.openxmlformats.org/officeDocument/2006/relationships/hyperlink" Target="https://maps.app.goo.gl/LeLHiaCFDCHj1hyR9" TargetMode="External"/><Relationship Id="rId22" Type="http://schemas.openxmlformats.org/officeDocument/2006/relationships/hyperlink" Target="https://ts.contel.com.br/operational/activities/15338/edit" TargetMode="External"/><Relationship Id="rId64" Type="http://schemas.openxmlformats.org/officeDocument/2006/relationships/hyperlink" Target="https://ts.contel.com.br/operational/activities/16697/edit" TargetMode="External"/><Relationship Id="rId118" Type="http://schemas.openxmlformats.org/officeDocument/2006/relationships/hyperlink" Target="https://ts.contel.com.br/operational/activities/27110/edit" TargetMode="External"/><Relationship Id="rId325" Type="http://schemas.openxmlformats.org/officeDocument/2006/relationships/hyperlink" Target="https://maps.app.goo.gl/kDZ5KJ8SsmcfcKNp9" TargetMode="External"/><Relationship Id="rId171" Type="http://schemas.openxmlformats.org/officeDocument/2006/relationships/hyperlink" Target="https://maps.app.goo.gl/RsuthpiWgLBTUogM6" TargetMode="External"/><Relationship Id="rId227" Type="http://schemas.openxmlformats.org/officeDocument/2006/relationships/hyperlink" Target="https://maps.app.goo.gl/b436xVT5jq5BGn767" TargetMode="External"/><Relationship Id="rId269" Type="http://schemas.openxmlformats.org/officeDocument/2006/relationships/hyperlink" Target="https://maps.app.goo.gl/aNkMjJxTvSM98HRW8" TargetMode="External"/><Relationship Id="rId33" Type="http://schemas.openxmlformats.org/officeDocument/2006/relationships/hyperlink" Target="https://ts.contel.com.br/operational/activities/12890/edit" TargetMode="External"/><Relationship Id="rId129" Type="http://schemas.openxmlformats.org/officeDocument/2006/relationships/hyperlink" Target="https://ts.contel.com.br/operational/activities/27851/edit" TargetMode="External"/><Relationship Id="rId280" Type="http://schemas.openxmlformats.org/officeDocument/2006/relationships/hyperlink" Target="https://maps.app.goo.gl/E6LGEWiaZjQdRWB16" TargetMode="External"/><Relationship Id="rId336" Type="http://schemas.openxmlformats.org/officeDocument/2006/relationships/hyperlink" Target="https://maps.app.goo.gl/4ghwZBYcaER8YkoG9" TargetMode="External"/><Relationship Id="rId75" Type="http://schemas.openxmlformats.org/officeDocument/2006/relationships/hyperlink" Target="https://ts.contel.com.br/operational/activities/26532/edit" TargetMode="External"/><Relationship Id="rId140" Type="http://schemas.openxmlformats.org/officeDocument/2006/relationships/hyperlink" Target="https://maps.app.goo.gl/Bpy8uL8ayiBD3Kdj7" TargetMode="External"/><Relationship Id="rId182" Type="http://schemas.openxmlformats.org/officeDocument/2006/relationships/hyperlink" Target="https://maps.app.goo.gl/gvxVcXzWbNzANoi7A" TargetMode="External"/><Relationship Id="rId6" Type="http://schemas.openxmlformats.org/officeDocument/2006/relationships/hyperlink" Target="https://ts.contel.com.br/operational/activities/16204/edit" TargetMode="External"/><Relationship Id="rId238" Type="http://schemas.openxmlformats.org/officeDocument/2006/relationships/hyperlink" Target="https://maps.app.goo.gl/TCnhsWRGk3EG5AC88" TargetMode="External"/><Relationship Id="rId291" Type="http://schemas.openxmlformats.org/officeDocument/2006/relationships/hyperlink" Target="https://ts.contel.com.br/operational/activities/26946/edit" TargetMode="External"/><Relationship Id="rId305" Type="http://schemas.openxmlformats.org/officeDocument/2006/relationships/hyperlink" Target="https://maps.app.goo.gl/zJSMMSdxJm6Y9WT59" TargetMode="External"/><Relationship Id="rId44" Type="http://schemas.openxmlformats.org/officeDocument/2006/relationships/hyperlink" Target="https://ts.contel.com.br/operational/activities/12767/edit" TargetMode="External"/><Relationship Id="rId86" Type="http://schemas.openxmlformats.org/officeDocument/2006/relationships/hyperlink" Target="https://ts.contel.com.br/operational/activities/26727/edit" TargetMode="External"/><Relationship Id="rId151" Type="http://schemas.openxmlformats.org/officeDocument/2006/relationships/hyperlink" Target="https://maps.app.goo.gl/7anpJtZhoq92gEPg7" TargetMode="External"/><Relationship Id="rId193" Type="http://schemas.openxmlformats.org/officeDocument/2006/relationships/hyperlink" Target="https://maps.app.goo.gl/weuBtUozD4HYXUj97" TargetMode="External"/><Relationship Id="rId207" Type="http://schemas.openxmlformats.org/officeDocument/2006/relationships/hyperlink" Target="https://maps.app.goo.gl/bVHR4YzBtG4xjtc59" TargetMode="External"/><Relationship Id="rId249" Type="http://schemas.openxmlformats.org/officeDocument/2006/relationships/hyperlink" Target="https://maps.app.goo.gl/XYoUxAxVbAvQ13Rt9" TargetMode="External"/><Relationship Id="rId13" Type="http://schemas.openxmlformats.org/officeDocument/2006/relationships/hyperlink" Target="https://ts.contel.com.br/operational/activities/15956/edit" TargetMode="External"/><Relationship Id="rId109" Type="http://schemas.openxmlformats.org/officeDocument/2006/relationships/hyperlink" Target="https://ts.contel.com.br/operational/activities/16113/edit" TargetMode="External"/><Relationship Id="rId260" Type="http://schemas.openxmlformats.org/officeDocument/2006/relationships/hyperlink" Target="https://maps.app.goo.gl/TsyuDNZuxTrGCY637" TargetMode="External"/><Relationship Id="rId316" Type="http://schemas.openxmlformats.org/officeDocument/2006/relationships/hyperlink" Target="https://ts.contel.com.br/operational/activities/28248/edit" TargetMode="External"/><Relationship Id="rId55" Type="http://schemas.openxmlformats.org/officeDocument/2006/relationships/hyperlink" Target="https://ts.contel.com.br/operational/activities/16615/edit" TargetMode="External"/><Relationship Id="rId97" Type="http://schemas.openxmlformats.org/officeDocument/2006/relationships/hyperlink" Target="https://ts.contel.com.br/operational/activities/4035/edit" TargetMode="External"/><Relationship Id="rId120" Type="http://schemas.openxmlformats.org/officeDocument/2006/relationships/hyperlink" Target="https://ts.contel.com.br/operational/activities/27172/edit" TargetMode="External"/><Relationship Id="rId162" Type="http://schemas.openxmlformats.org/officeDocument/2006/relationships/hyperlink" Target="https://maps.app.goo.gl/a3MkFUiYZv8tBiR68" TargetMode="External"/><Relationship Id="rId218" Type="http://schemas.openxmlformats.org/officeDocument/2006/relationships/hyperlink" Target="https://maps.app.goo.gl/GBUYUza8gKxz8Bx79" TargetMode="External"/><Relationship Id="rId271" Type="http://schemas.openxmlformats.org/officeDocument/2006/relationships/hyperlink" Target="https://maps.app.goo.gl/Q1cVifwYda8A19Cw8" TargetMode="External"/><Relationship Id="rId24" Type="http://schemas.openxmlformats.org/officeDocument/2006/relationships/hyperlink" Target="https://ts.contel.com.br/operational/activities/15838/edit" TargetMode="External"/><Relationship Id="rId66" Type="http://schemas.openxmlformats.org/officeDocument/2006/relationships/hyperlink" Target="https://ts.contel.com.br/operational/activities/16692/edit" TargetMode="External"/><Relationship Id="rId131" Type="http://schemas.openxmlformats.org/officeDocument/2006/relationships/hyperlink" Target="https://ts.contel.com.br/operational/activities/27848/edit" TargetMode="External"/><Relationship Id="rId327" Type="http://schemas.openxmlformats.org/officeDocument/2006/relationships/hyperlink" Target="https://ts.contel.com.br/operational/activities/28708/edi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T171"/>
  <sheetViews>
    <sheetView showGridLines="0" topLeftCell="A143" zoomScale="70" zoomScaleNormal="70" workbookViewId="0">
      <pane xSplit="1" topLeftCell="B1" activePane="topRight" state="frozen"/>
      <selection pane="topRight" activeCell="A143" sqref="A143"/>
    </sheetView>
  </sheetViews>
  <sheetFormatPr defaultColWidth="8.88671875" defaultRowHeight="15" customHeight="1" x14ac:dyDescent="0.3"/>
  <cols>
    <col min="1" max="1" width="23.33203125" style="1" bestFit="1" customWidth="1"/>
    <col min="2" max="2" width="23.33203125" style="1" hidden="1" customWidth="1"/>
    <col min="3" max="3" width="18.88671875" style="1" customWidth="1"/>
    <col min="4" max="4" width="34.6640625" style="1" customWidth="1"/>
    <col min="5" max="5" width="14.33203125" style="1" customWidth="1"/>
    <col min="6" max="6" width="48.33203125" bestFit="1" customWidth="1"/>
    <col min="7" max="7" width="15.33203125" style="1" customWidth="1"/>
    <col min="8" max="8" width="24.44140625" style="3" customWidth="1"/>
    <col min="9" max="9" width="24.44140625" style="12" customWidth="1"/>
    <col min="10" max="10" width="25" style="2" customWidth="1"/>
    <col min="11" max="11" width="16.88671875" style="17" customWidth="1"/>
    <col min="12" max="12" width="24.44140625" style="17" customWidth="1"/>
    <col min="13" max="13" width="69.33203125" style="17" bestFit="1" customWidth="1"/>
    <col min="14" max="14" width="32.33203125" style="1" bestFit="1" customWidth="1"/>
    <col min="15" max="15" width="34.44140625" style="2" customWidth="1"/>
    <col min="16" max="16" width="25.88671875" style="2" customWidth="1"/>
    <col min="17" max="17" width="19.109375" style="2" customWidth="1"/>
    <col min="18" max="18" width="14.88671875" style="1" customWidth="1"/>
    <col min="19" max="19" width="30.109375" style="1" customWidth="1"/>
    <col min="20" max="20" width="21.88671875" style="1" customWidth="1"/>
    <col min="21" max="16384" width="8.88671875" style="1"/>
  </cols>
  <sheetData>
    <row r="1" spans="1:20" ht="22.5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51" t="s">
        <v>5</v>
      </c>
      <c r="G1" s="20" t="s">
        <v>6</v>
      </c>
      <c r="H1" s="20" t="s">
        <v>7</v>
      </c>
      <c r="I1" s="20" t="s">
        <v>8</v>
      </c>
      <c r="J1" s="21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1" t="s">
        <v>14</v>
      </c>
      <c r="P1" s="21" t="s">
        <v>15</v>
      </c>
      <c r="Q1" s="21" t="s">
        <v>16</v>
      </c>
      <c r="R1" s="20" t="s">
        <v>17</v>
      </c>
      <c r="S1" s="20" t="s">
        <v>18</v>
      </c>
      <c r="T1" s="22" t="s">
        <v>19</v>
      </c>
    </row>
    <row r="2" spans="1:20" ht="14.4" x14ac:dyDescent="0.3">
      <c r="A2" s="23" t="s">
        <v>20</v>
      </c>
      <c r="B2" s="23" t="str">
        <f>IF(A2&lt;&gt;"","contel-"&amp;TEXT(COUNTA($A$2:A2),"00"),"")</f>
        <v>contel-01</v>
      </c>
      <c r="C2" s="23" t="s">
        <v>21</v>
      </c>
      <c r="D2" s="23" t="s">
        <v>22</v>
      </c>
      <c r="E2" s="23" t="s">
        <v>23</v>
      </c>
      <c r="F2" s="52" t="s">
        <v>24</v>
      </c>
      <c r="G2" s="23">
        <v>1457</v>
      </c>
      <c r="H2" s="24">
        <v>15869</v>
      </c>
      <c r="I2" s="23" t="s">
        <v>25</v>
      </c>
      <c r="J2" s="25">
        <f>SUM(EQUIPE!C2,EQUIPE!E2,EQUIPE!G2,EQUIPE!I2,EQUIPE!K2,EQUIPE!M2,EQUIPE!O2)</f>
        <v>11006</v>
      </c>
      <c r="K2" s="25">
        <v>5615.61</v>
      </c>
      <c r="L2" s="25">
        <v>1600</v>
      </c>
      <c r="M2" s="27" t="str">
        <f>IFERROR(LEFT(
IF(INDEX('ETAPA OBRA'!C:C,MATCH($B2,'ETAPA OBRA'!$B:$B,0))="x",'ETAPA OBRA'!C$1&amp;", ","")&amp;
IF(INDEX('ETAPA OBRA'!D:D,MATCH($B2,'ETAPA OBRA'!$B:$B,0))="x",'ETAPA OBRA'!D$1&amp;", ","")&amp;
IF(INDEX('ETAPA OBRA'!F:F,MATCH($B2,'ETAPA OBRA'!$B:$B,0))="x",'ETAPA OBRA'!F$1&amp;", ","")&amp;
IF(INDEX('ETAPA OBRA'!G:G,MATCH($B2,'ETAPA OBRA'!$B:$B,0))="x",'ETAPA OBRA'!G$1&amp;", ","")&amp;
IF(INDEX('ETAPA OBRA'!H:H,MATCH($B2,'ETAPA OBRA'!$B:$B,0))="x",'ETAPA OBRA'!H$1&amp;", ","")&amp;
IF(INDEX('ETAPA OBRA'!I:I,MATCH($B2,'ETAPA OBRA'!$B:$B,0))="x",'ETAPA OBRA'!I$1&amp;", ","")&amp;
IF(INDEX('ETAPA OBRA'!J:J,MATCH($B2,'ETAPA OBRA'!$B:$B,0))="x",'ETAPA OBRA'!J$1&amp;", ","")&amp;
IF(INDEX('ETAPA OBRA'!K:K,MATCH($B2,'ETAPA OBRA'!$B:$B,0))="x",'ETAPA OBRA'!K$1&amp;", ","")&amp;
IF(INDEX('ETAPA OBRA'!L:L,MATCH($B2,'ETAPA OBRA'!$B:$B,0))="x",'ETAPA OBRA'!L$1&amp;", ","")&amp;
IF(INDEX('ETAPA OBRA'!M:M,MATCH($B2,'ETAPA OBRA'!$B:$B,0))="x",'ETAPA OBRA'!M$1&amp;", ","")&amp;
IF(INDEX('ETAPA OBRA'!N:N,MATCH($B2,'ETAPA OBRA'!$B:$B,0))="x",'ETAPA OBRA'!N$1&amp;", ","")&amp;
IF(INDEX('ETAPA OBRA'!O:O,MATCH($B2,'ETAPA OBRA'!$B:$B,0))="x",'ETAPA OBRA'!O$1&amp;", ","")&amp;
IF(INDEX('ETAPA OBRA'!P:P,MATCH($B2,'ETAPA OBRA'!$B:$B,0))="x",'ETAPA OBRA'!P$1&amp;", ","")&amp;
IF(INDEX('ETAPA OBRA'!Q:Q,MATCH($B2,'ETAPA OBRA'!$B:$B,0))="x",'ETAPA OBRA'!Q$1&amp;", ","")&amp;
IF(INDEX('ETAPA OBRA'!R:R,MATCH($B2,'ETAPA OBRA'!$B:$B,0))="x",'ETAPA OBRA'!R$1&amp;", ","")&amp;
IF(INDEX('ETAPA OBRA'!S:S,MATCH($B2,'ETAPA OBRA'!$B:$B,0))="x",'ETAPA OBRA'!S$1&amp;", ","")&amp;
IF(INDEX('ETAPA OBRA'!T:T,MATCH($B2,'ETAPA OBRA'!$B:$B,0))="x",'ETAPA OBRA'!T$1&amp;", ","")&amp;
IF(INDEX('ETAPA OBRA'!U:U,MATCH($B2,'ETAPA OBRA'!$B:$B,0))="x",'ETAPA OBRA'!U$1&amp;", ",""),LEN(
IF(INDEX('ETAPA OBRA'!C:C,MATCH($B2,'ETAPA OBRA'!$B:$B,0))="x",'ETAPA OBRA'!C$1&amp;", ","")&amp;
IF(INDEX('ETAPA OBRA'!D:D,MATCH($B2,'ETAPA OBRA'!$B:$B,0))="x",'ETAPA OBRA'!D$1&amp;", ","")&amp;
IF(INDEX('ETAPA OBRA'!F:F,MATCH($B2,'ETAPA OBRA'!$B:$B,0))="x",'ETAPA OBRA'!F$1&amp;", ","")&amp;
IF(INDEX('ETAPA OBRA'!G:G,MATCH($B2,'ETAPA OBRA'!$B:$B,0))="x",'ETAPA OBRA'!G$1&amp;", ","")&amp;
IF(INDEX('ETAPA OBRA'!H:H,MATCH($B2,'ETAPA OBRA'!$B:$B,0))="x",'ETAPA OBRA'!H$1&amp;", ","")&amp;
IF(INDEX('ETAPA OBRA'!I:I,MATCH($B2,'ETAPA OBRA'!$B:$B,0))="x",'ETAPA OBRA'!I$1&amp;", ","")&amp;
IF(INDEX('ETAPA OBRA'!J:J,MATCH($B2,'ETAPA OBRA'!$B:$B,0))="x",'ETAPA OBRA'!J$1&amp;", ","")&amp;
IF(INDEX('ETAPA OBRA'!K:K,MATCH($B2,'ETAPA OBRA'!$B:$B,0))="x",'ETAPA OBRA'!K$1&amp;", ","")&amp;
IF(INDEX('ETAPA OBRA'!L:L,MATCH($B2,'ETAPA OBRA'!$B:$B,0))="x",'ETAPA OBRA'!L$1&amp;", ","")&amp;
IF(INDEX('ETAPA OBRA'!M:M,MATCH($B2,'ETAPA OBRA'!$B:$B,0))="x",'ETAPA OBRA'!M$1&amp;", ","")&amp;
IF(INDEX('ETAPA OBRA'!N:N,MATCH($B2,'ETAPA OBRA'!$B:$B,0))="x",'ETAPA OBRA'!N$1&amp;", ","")&amp;
IF(INDEX('ETAPA OBRA'!O:O,MATCH($B2,'ETAPA OBRA'!$B:$B,0))="x",'ETAPA OBRA'!O$1&amp;", ","")&amp;
IF(INDEX('ETAPA OBRA'!P:P,MATCH($B2,'ETAPA OBRA'!$B:$B,0))="x",'ETAPA OBRA'!P$1&amp;", ","")&amp;
IF(INDEX('ETAPA OBRA'!Q:Q,MATCH($B2,'ETAPA OBRA'!$B:$B,0))="x",'ETAPA OBRA'!Q$1&amp;", ","")&amp;
IF(INDEX('ETAPA OBRA'!R:R,MATCH($B2,'ETAPA OBRA'!$B:$B,0))="x",'ETAPA OBRA'!R$1&amp;", ","")&amp;
IF(INDEX('ETAPA OBRA'!S:S,MATCH($B2,'ETAPA OBRA'!$B:$B,0))="x",'ETAPA OBRA'!S$1&amp;", ","")&amp;
IF(INDEX('ETAPA OBRA'!T:T,MATCH($B2,'ETAPA OBRA'!$B:$B,0))="x",'ETAPA OBRA'!T$1&amp;", ","")&amp;
IF(INDEX('ETAPA OBRA'!U:U,MATCH($B2,'ETAPA OBRA'!$B:$B,0))="x",'ETAPA OBRA'!U$1&amp;", ","")
)-2),"")</f>
        <v>Finalizado</v>
      </c>
      <c r="N2" s="23" t="str">
        <f t="shared" ref="N2:N33" si="0">IF(M2="","Não iniciada",
IF(ISNUMBER(FIND("Cancelada",M2)),"Cancelada",
IF(ISNUMBER(FIND("Paralisada",M2)),"Paralisada",
IF(ISNUMBER(FIND("Finalizado",M2)),"Finalizado",
"Em andamento"))))</f>
        <v>Finalizado</v>
      </c>
      <c r="O2" s="28">
        <v>38900.699999999997</v>
      </c>
      <c r="P2" s="37">
        <f t="shared" ref="P2:P65" si="1">SUM($J2:$L2)</f>
        <v>18221.61</v>
      </c>
      <c r="Q2" s="28">
        <f t="shared" ref="Q2:Q33" si="2">O2-P2</f>
        <v>20679.089999999997</v>
      </c>
      <c r="R2" s="29">
        <f t="shared" ref="R2:R33" si="3">IF(O2=0,0,Q2/O2)</f>
        <v>0.53158657813355537</v>
      </c>
      <c r="S2" s="23" t="str">
        <f t="shared" ref="S2:S33" si="4">IF(R2&gt;=0.2,"✅ OK - Fechar Parceiro","⚠️ Ajustar Custos (&lt;20%)")</f>
        <v>✅ OK - Fechar Parceiro</v>
      </c>
      <c r="T2" s="23" t="str">
        <f>Cronograma[[#This Row],[STATUS]]</f>
        <v>✅ CONCLUÍDO</v>
      </c>
    </row>
    <row r="3" spans="1:20" ht="14.4" x14ac:dyDescent="0.3">
      <c r="A3" s="23" t="s">
        <v>26</v>
      </c>
      <c r="B3" s="23" t="str">
        <f>IF(A3&lt;&gt;"","contel-"&amp;TEXT(COUNTA($A$2:A3),"00"),"")</f>
        <v>contel-02</v>
      </c>
      <c r="C3" s="23" t="s">
        <v>21</v>
      </c>
      <c r="D3" s="23" t="s">
        <v>27</v>
      </c>
      <c r="E3" s="23" t="s">
        <v>28</v>
      </c>
      <c r="F3" s="52" t="s">
        <v>29</v>
      </c>
      <c r="G3" s="23">
        <v>1527</v>
      </c>
      <c r="H3" s="24">
        <v>16078</v>
      </c>
      <c r="I3" s="23" t="s">
        <v>25</v>
      </c>
      <c r="J3" s="25">
        <f>SUM(EQUIPE!C3,EQUIPE!E3,EQUIPE!G3,EQUIPE!I3,EQUIPE!K3,EQUIPE!M3,EQUIPE!O3)</f>
        <v>800</v>
      </c>
      <c r="K3" s="25">
        <v>1087.53</v>
      </c>
      <c r="L3" s="25">
        <v>804.64</v>
      </c>
      <c r="M3" s="27" t="str">
        <f>IFERROR(LEFT(
IF(INDEX('ETAPA OBRA'!C:C,MATCH($B3,'ETAPA OBRA'!$B:$B,0))="x",'ETAPA OBRA'!C$1&amp;", ","")&amp;
IF(INDEX('ETAPA OBRA'!D:D,MATCH($B3,'ETAPA OBRA'!$B:$B,0))="x",'ETAPA OBRA'!D$1&amp;", ","")&amp;
IF(INDEX('ETAPA OBRA'!F:F,MATCH($B3,'ETAPA OBRA'!$B:$B,0))="x",'ETAPA OBRA'!F$1&amp;", ","")&amp;
IF(INDEX('ETAPA OBRA'!G:G,MATCH($B3,'ETAPA OBRA'!$B:$B,0))="x",'ETAPA OBRA'!G$1&amp;", ","")&amp;
IF(INDEX('ETAPA OBRA'!H:H,MATCH($B3,'ETAPA OBRA'!$B:$B,0))="x",'ETAPA OBRA'!H$1&amp;", ","")&amp;
IF(INDEX('ETAPA OBRA'!I:I,MATCH($B3,'ETAPA OBRA'!$B:$B,0))="x",'ETAPA OBRA'!I$1&amp;", ","")&amp;
IF(INDEX('ETAPA OBRA'!J:J,MATCH($B3,'ETAPA OBRA'!$B:$B,0))="x",'ETAPA OBRA'!J$1&amp;", ","")&amp;
IF(INDEX('ETAPA OBRA'!K:K,MATCH($B3,'ETAPA OBRA'!$B:$B,0))="x",'ETAPA OBRA'!K$1&amp;", ","")&amp;
IF(INDEX('ETAPA OBRA'!L:L,MATCH($B3,'ETAPA OBRA'!$B:$B,0))="x",'ETAPA OBRA'!L$1&amp;", ","")&amp;
IF(INDEX('ETAPA OBRA'!M:M,MATCH($B3,'ETAPA OBRA'!$B:$B,0))="x",'ETAPA OBRA'!M$1&amp;", ","")&amp;
IF(INDEX('ETAPA OBRA'!N:N,MATCH($B3,'ETAPA OBRA'!$B:$B,0))="x",'ETAPA OBRA'!N$1&amp;", ","")&amp;
IF(INDEX('ETAPA OBRA'!O:O,MATCH($B3,'ETAPA OBRA'!$B:$B,0))="x",'ETAPA OBRA'!O$1&amp;", ","")&amp;
IF(INDEX('ETAPA OBRA'!P:P,MATCH($B3,'ETAPA OBRA'!$B:$B,0))="x",'ETAPA OBRA'!P$1&amp;", ","")&amp;
IF(INDEX('ETAPA OBRA'!Q:Q,MATCH($B3,'ETAPA OBRA'!$B:$B,0))="x",'ETAPA OBRA'!Q$1&amp;", ","")&amp;
IF(INDEX('ETAPA OBRA'!R:R,MATCH($B3,'ETAPA OBRA'!$B:$B,0))="x",'ETAPA OBRA'!R$1&amp;", ","")&amp;
IF(INDEX('ETAPA OBRA'!S:S,MATCH($B3,'ETAPA OBRA'!$B:$B,0))="x",'ETAPA OBRA'!S$1&amp;", ","")&amp;
IF(INDEX('ETAPA OBRA'!T:T,MATCH($B3,'ETAPA OBRA'!$B:$B,0))="x",'ETAPA OBRA'!T$1&amp;", ","")&amp;
IF(INDEX('ETAPA OBRA'!U:U,MATCH($B3,'ETAPA OBRA'!$B:$B,0))="x",'ETAPA OBRA'!U$1&amp;", ",""),LEN(
IF(INDEX('ETAPA OBRA'!C:C,MATCH($B3,'ETAPA OBRA'!$B:$B,0))="x",'ETAPA OBRA'!C$1&amp;", ","")&amp;
IF(INDEX('ETAPA OBRA'!D:D,MATCH($B3,'ETAPA OBRA'!$B:$B,0))="x",'ETAPA OBRA'!D$1&amp;", ","")&amp;
IF(INDEX('ETAPA OBRA'!F:F,MATCH($B3,'ETAPA OBRA'!$B:$B,0))="x",'ETAPA OBRA'!F$1&amp;", ","")&amp;
IF(INDEX('ETAPA OBRA'!G:G,MATCH($B3,'ETAPA OBRA'!$B:$B,0))="x",'ETAPA OBRA'!G$1&amp;", ","")&amp;
IF(INDEX('ETAPA OBRA'!H:H,MATCH($B3,'ETAPA OBRA'!$B:$B,0))="x",'ETAPA OBRA'!H$1&amp;", ","")&amp;
IF(INDEX('ETAPA OBRA'!I:I,MATCH($B3,'ETAPA OBRA'!$B:$B,0))="x",'ETAPA OBRA'!I$1&amp;", ","")&amp;
IF(INDEX('ETAPA OBRA'!J:J,MATCH($B3,'ETAPA OBRA'!$B:$B,0))="x",'ETAPA OBRA'!J$1&amp;", ","")&amp;
IF(INDEX('ETAPA OBRA'!K:K,MATCH($B3,'ETAPA OBRA'!$B:$B,0))="x",'ETAPA OBRA'!K$1&amp;", ","")&amp;
IF(INDEX('ETAPA OBRA'!L:L,MATCH($B3,'ETAPA OBRA'!$B:$B,0))="x",'ETAPA OBRA'!L$1&amp;", ","")&amp;
IF(INDEX('ETAPA OBRA'!M:M,MATCH($B3,'ETAPA OBRA'!$B:$B,0))="x",'ETAPA OBRA'!M$1&amp;", ","")&amp;
IF(INDEX('ETAPA OBRA'!N:N,MATCH($B3,'ETAPA OBRA'!$B:$B,0))="x",'ETAPA OBRA'!N$1&amp;", ","")&amp;
IF(INDEX('ETAPA OBRA'!O:O,MATCH($B3,'ETAPA OBRA'!$B:$B,0))="x",'ETAPA OBRA'!O$1&amp;", ","")&amp;
IF(INDEX('ETAPA OBRA'!P:P,MATCH($B3,'ETAPA OBRA'!$B:$B,0))="x",'ETAPA OBRA'!P$1&amp;", ","")&amp;
IF(INDEX('ETAPA OBRA'!Q:Q,MATCH($B3,'ETAPA OBRA'!$B:$B,0))="x",'ETAPA OBRA'!Q$1&amp;", ","")&amp;
IF(INDEX('ETAPA OBRA'!R:R,MATCH($B3,'ETAPA OBRA'!$B:$B,0))="x",'ETAPA OBRA'!R$1&amp;", ","")&amp;
IF(INDEX('ETAPA OBRA'!S:S,MATCH($B3,'ETAPA OBRA'!$B:$B,0))="x",'ETAPA OBRA'!S$1&amp;", ","")&amp;
IF(INDEX('ETAPA OBRA'!T:T,MATCH($B3,'ETAPA OBRA'!$B:$B,0))="x",'ETAPA OBRA'!T$1&amp;", ","")&amp;
IF(INDEX('ETAPA OBRA'!U:U,MATCH($B3,'ETAPA OBRA'!$B:$B,0))="x",'ETAPA OBRA'!U$1&amp;", ","")
)-2),"")</f>
        <v>Finalizado</v>
      </c>
      <c r="N3" s="23" t="str">
        <f t="shared" si="0"/>
        <v>Finalizado</v>
      </c>
      <c r="O3" s="28">
        <v>5055.68</v>
      </c>
      <c r="P3" s="37">
        <f t="shared" si="1"/>
        <v>2692.17</v>
      </c>
      <c r="Q3" s="28">
        <f t="shared" si="2"/>
        <v>2363.5100000000002</v>
      </c>
      <c r="R3" s="29">
        <f t="shared" si="3"/>
        <v>0.46749596493448953</v>
      </c>
      <c r="S3" s="23" t="str">
        <f t="shared" si="4"/>
        <v>✅ OK - Fechar Parceiro</v>
      </c>
      <c r="T3" s="23" t="str">
        <f>Cronograma[[#This Row],[STATUS]]</f>
        <v>✅ CONCLUÍDO</v>
      </c>
    </row>
    <row r="4" spans="1:20" ht="14.4" x14ac:dyDescent="0.3">
      <c r="A4" s="23" t="s">
        <v>30</v>
      </c>
      <c r="B4" s="23" t="str">
        <f>IF(A4&lt;&gt;"","contel-"&amp;TEXT(COUNTA($A$2:A4),"00"),"")</f>
        <v>contel-03</v>
      </c>
      <c r="C4" s="23" t="s">
        <v>21</v>
      </c>
      <c r="D4" s="23" t="s">
        <v>31</v>
      </c>
      <c r="E4" s="23" t="s">
        <v>32</v>
      </c>
      <c r="F4" s="52" t="s">
        <v>33</v>
      </c>
      <c r="G4" s="23">
        <v>1582</v>
      </c>
      <c r="H4" s="24">
        <v>15870</v>
      </c>
      <c r="I4" s="23" t="s">
        <v>34</v>
      </c>
      <c r="J4" s="25">
        <f>SUM(EQUIPE!C4,EQUIPE!E4,EQUIPE!G4,EQUIPE!I4,EQUIPE!K4,EQUIPE!M4,EQUIPE!O4)</f>
        <v>1300</v>
      </c>
      <c r="K4" s="25">
        <v>650</v>
      </c>
      <c r="L4" s="25">
        <v>285.3</v>
      </c>
      <c r="M4" s="27" t="str">
        <f>IFERROR(LEFT(
IF(INDEX('ETAPA OBRA'!C:C,MATCH($B4,'ETAPA OBRA'!$B:$B,0))="x",'ETAPA OBRA'!C$1&amp;", ","")&amp;
IF(INDEX('ETAPA OBRA'!D:D,MATCH($B4,'ETAPA OBRA'!$B:$B,0))="x",'ETAPA OBRA'!D$1&amp;", ","")&amp;
IF(INDEX('ETAPA OBRA'!F:F,MATCH($B4,'ETAPA OBRA'!$B:$B,0))="x",'ETAPA OBRA'!F$1&amp;", ","")&amp;
IF(INDEX('ETAPA OBRA'!G:G,MATCH($B4,'ETAPA OBRA'!$B:$B,0))="x",'ETAPA OBRA'!G$1&amp;", ","")&amp;
IF(INDEX('ETAPA OBRA'!H:H,MATCH($B4,'ETAPA OBRA'!$B:$B,0))="x",'ETAPA OBRA'!H$1&amp;", ","")&amp;
IF(INDEX('ETAPA OBRA'!I:I,MATCH($B4,'ETAPA OBRA'!$B:$B,0))="x",'ETAPA OBRA'!I$1&amp;", ","")&amp;
IF(INDEX('ETAPA OBRA'!J:J,MATCH($B4,'ETAPA OBRA'!$B:$B,0))="x",'ETAPA OBRA'!J$1&amp;", ","")&amp;
IF(INDEX('ETAPA OBRA'!K:K,MATCH($B4,'ETAPA OBRA'!$B:$B,0))="x",'ETAPA OBRA'!K$1&amp;", ","")&amp;
IF(INDEX('ETAPA OBRA'!L:L,MATCH($B4,'ETAPA OBRA'!$B:$B,0))="x",'ETAPA OBRA'!L$1&amp;", ","")&amp;
IF(INDEX('ETAPA OBRA'!M:M,MATCH($B4,'ETAPA OBRA'!$B:$B,0))="x",'ETAPA OBRA'!M$1&amp;", ","")&amp;
IF(INDEX('ETAPA OBRA'!N:N,MATCH($B4,'ETAPA OBRA'!$B:$B,0))="x",'ETAPA OBRA'!N$1&amp;", ","")&amp;
IF(INDEX('ETAPA OBRA'!O:O,MATCH($B4,'ETAPA OBRA'!$B:$B,0))="x",'ETAPA OBRA'!O$1&amp;", ","")&amp;
IF(INDEX('ETAPA OBRA'!P:P,MATCH($B4,'ETAPA OBRA'!$B:$B,0))="x",'ETAPA OBRA'!P$1&amp;", ","")&amp;
IF(INDEX('ETAPA OBRA'!Q:Q,MATCH($B4,'ETAPA OBRA'!$B:$B,0))="x",'ETAPA OBRA'!Q$1&amp;", ","")&amp;
IF(INDEX('ETAPA OBRA'!R:R,MATCH($B4,'ETAPA OBRA'!$B:$B,0))="x",'ETAPA OBRA'!R$1&amp;", ","")&amp;
IF(INDEX('ETAPA OBRA'!S:S,MATCH($B4,'ETAPA OBRA'!$B:$B,0))="x",'ETAPA OBRA'!S$1&amp;", ","")&amp;
IF(INDEX('ETAPA OBRA'!T:T,MATCH($B4,'ETAPA OBRA'!$B:$B,0))="x",'ETAPA OBRA'!T$1&amp;", ","")&amp;
IF(INDEX('ETAPA OBRA'!U:U,MATCH($B4,'ETAPA OBRA'!$B:$B,0))="x",'ETAPA OBRA'!U$1&amp;", ",""),LEN(
IF(INDEX('ETAPA OBRA'!C:C,MATCH($B4,'ETAPA OBRA'!$B:$B,0))="x",'ETAPA OBRA'!C$1&amp;", ","")&amp;
IF(INDEX('ETAPA OBRA'!D:D,MATCH($B4,'ETAPA OBRA'!$B:$B,0))="x",'ETAPA OBRA'!D$1&amp;", ","")&amp;
IF(INDEX('ETAPA OBRA'!F:F,MATCH($B4,'ETAPA OBRA'!$B:$B,0))="x",'ETAPA OBRA'!F$1&amp;", ","")&amp;
IF(INDEX('ETAPA OBRA'!G:G,MATCH($B4,'ETAPA OBRA'!$B:$B,0))="x",'ETAPA OBRA'!G$1&amp;", ","")&amp;
IF(INDEX('ETAPA OBRA'!H:H,MATCH($B4,'ETAPA OBRA'!$B:$B,0))="x",'ETAPA OBRA'!H$1&amp;", ","")&amp;
IF(INDEX('ETAPA OBRA'!I:I,MATCH($B4,'ETAPA OBRA'!$B:$B,0))="x",'ETAPA OBRA'!I$1&amp;", ","")&amp;
IF(INDEX('ETAPA OBRA'!J:J,MATCH($B4,'ETAPA OBRA'!$B:$B,0))="x",'ETAPA OBRA'!J$1&amp;", ","")&amp;
IF(INDEX('ETAPA OBRA'!K:K,MATCH($B4,'ETAPA OBRA'!$B:$B,0))="x",'ETAPA OBRA'!K$1&amp;", ","")&amp;
IF(INDEX('ETAPA OBRA'!L:L,MATCH($B4,'ETAPA OBRA'!$B:$B,0))="x",'ETAPA OBRA'!L$1&amp;", ","")&amp;
IF(INDEX('ETAPA OBRA'!M:M,MATCH($B4,'ETAPA OBRA'!$B:$B,0))="x",'ETAPA OBRA'!M$1&amp;", ","")&amp;
IF(INDEX('ETAPA OBRA'!N:N,MATCH($B4,'ETAPA OBRA'!$B:$B,0))="x",'ETAPA OBRA'!N$1&amp;", ","")&amp;
IF(INDEX('ETAPA OBRA'!O:O,MATCH($B4,'ETAPA OBRA'!$B:$B,0))="x",'ETAPA OBRA'!O$1&amp;", ","")&amp;
IF(INDEX('ETAPA OBRA'!P:P,MATCH($B4,'ETAPA OBRA'!$B:$B,0))="x",'ETAPA OBRA'!P$1&amp;", ","")&amp;
IF(INDEX('ETAPA OBRA'!Q:Q,MATCH($B4,'ETAPA OBRA'!$B:$B,0))="x",'ETAPA OBRA'!Q$1&amp;", ","")&amp;
IF(INDEX('ETAPA OBRA'!R:R,MATCH($B4,'ETAPA OBRA'!$B:$B,0))="x",'ETAPA OBRA'!R$1&amp;", ","")&amp;
IF(INDEX('ETAPA OBRA'!S:S,MATCH($B4,'ETAPA OBRA'!$B:$B,0))="x",'ETAPA OBRA'!S$1&amp;", ","")&amp;
IF(INDEX('ETAPA OBRA'!T:T,MATCH($B4,'ETAPA OBRA'!$B:$B,0))="x",'ETAPA OBRA'!T$1&amp;", ","")&amp;
IF(INDEX('ETAPA OBRA'!U:U,MATCH($B4,'ETAPA OBRA'!$B:$B,0))="x",'ETAPA OBRA'!U$1&amp;", ","")
)-2),"")</f>
        <v>Finalizado</v>
      </c>
      <c r="N4" s="23" t="str">
        <f t="shared" si="0"/>
        <v>Finalizado</v>
      </c>
      <c r="O4" s="28">
        <v>9830.09</v>
      </c>
      <c r="P4" s="37">
        <f t="shared" si="1"/>
        <v>2235.3000000000002</v>
      </c>
      <c r="Q4" s="28">
        <f t="shared" si="2"/>
        <v>7594.79</v>
      </c>
      <c r="R4" s="29">
        <f t="shared" si="3"/>
        <v>0.77260635457050753</v>
      </c>
      <c r="S4" s="23" t="str">
        <f t="shared" si="4"/>
        <v>✅ OK - Fechar Parceiro</v>
      </c>
      <c r="T4" s="23" t="str">
        <f>Cronograma[[#This Row],[STATUS]]</f>
        <v>✅ CONCLUÍDO</v>
      </c>
    </row>
    <row r="5" spans="1:20" ht="14.4" x14ac:dyDescent="0.3">
      <c r="A5" s="23">
        <v>47080009</v>
      </c>
      <c r="B5" s="23" t="str">
        <f>IF(A5&lt;&gt;"","contel-"&amp;TEXT(COUNTA($A$2:A5),"00"),"")</f>
        <v>contel-04</v>
      </c>
      <c r="C5" s="23" t="s">
        <v>35</v>
      </c>
      <c r="D5" s="23" t="s">
        <v>36</v>
      </c>
      <c r="E5" s="23" t="s">
        <v>37</v>
      </c>
      <c r="F5" s="52" t="s">
        <v>38</v>
      </c>
      <c r="G5" s="23">
        <v>1665</v>
      </c>
      <c r="H5" s="24">
        <v>4014</v>
      </c>
      <c r="I5" s="23" t="s">
        <v>25</v>
      </c>
      <c r="J5" s="25">
        <f>SUM(EQUIPE!C5,EQUIPE!E5,EQUIPE!G5,EQUIPE!I5,EQUIPE!K5,EQUIPE!M5,EQUIPE!O5)</f>
        <v>10000</v>
      </c>
      <c r="K5" s="25">
        <v>10267.700000000001</v>
      </c>
      <c r="L5" s="25">
        <v>853.78</v>
      </c>
      <c r="M5" s="27" t="str">
        <f>IFERROR(LEFT(
IF(INDEX('ETAPA OBRA'!C:C,MATCH($B5,'ETAPA OBRA'!$B:$B,0))="x",'ETAPA OBRA'!C$1&amp;", ","")&amp;
IF(INDEX('ETAPA OBRA'!D:D,MATCH($B5,'ETAPA OBRA'!$B:$B,0))="x",'ETAPA OBRA'!D$1&amp;", ","")&amp;
IF(INDEX('ETAPA OBRA'!F:F,MATCH($B5,'ETAPA OBRA'!$B:$B,0))="x",'ETAPA OBRA'!F$1&amp;", ","")&amp;
IF(INDEX('ETAPA OBRA'!G:G,MATCH($B5,'ETAPA OBRA'!$B:$B,0))="x",'ETAPA OBRA'!G$1&amp;", ","")&amp;
IF(INDEX('ETAPA OBRA'!H:H,MATCH($B5,'ETAPA OBRA'!$B:$B,0))="x",'ETAPA OBRA'!H$1&amp;", ","")&amp;
IF(INDEX('ETAPA OBRA'!I:I,MATCH($B5,'ETAPA OBRA'!$B:$B,0))="x",'ETAPA OBRA'!I$1&amp;", ","")&amp;
IF(INDEX('ETAPA OBRA'!J:J,MATCH($B5,'ETAPA OBRA'!$B:$B,0))="x",'ETAPA OBRA'!J$1&amp;", ","")&amp;
IF(INDEX('ETAPA OBRA'!K:K,MATCH($B5,'ETAPA OBRA'!$B:$B,0))="x",'ETAPA OBRA'!K$1&amp;", ","")&amp;
IF(INDEX('ETAPA OBRA'!L:L,MATCH($B5,'ETAPA OBRA'!$B:$B,0))="x",'ETAPA OBRA'!L$1&amp;", ","")&amp;
IF(INDEX('ETAPA OBRA'!M:M,MATCH($B5,'ETAPA OBRA'!$B:$B,0))="x",'ETAPA OBRA'!M$1&amp;", ","")&amp;
IF(INDEX('ETAPA OBRA'!N:N,MATCH($B5,'ETAPA OBRA'!$B:$B,0))="x",'ETAPA OBRA'!N$1&amp;", ","")&amp;
IF(INDEX('ETAPA OBRA'!O:O,MATCH($B5,'ETAPA OBRA'!$B:$B,0))="x",'ETAPA OBRA'!O$1&amp;", ","")&amp;
IF(INDEX('ETAPA OBRA'!P:P,MATCH($B5,'ETAPA OBRA'!$B:$B,0))="x",'ETAPA OBRA'!P$1&amp;", ","")&amp;
IF(INDEX('ETAPA OBRA'!Q:Q,MATCH($B5,'ETAPA OBRA'!$B:$B,0))="x",'ETAPA OBRA'!Q$1&amp;", ","")&amp;
IF(INDEX('ETAPA OBRA'!R:R,MATCH($B5,'ETAPA OBRA'!$B:$B,0))="x",'ETAPA OBRA'!R$1&amp;", ","")&amp;
IF(INDEX('ETAPA OBRA'!S:S,MATCH($B5,'ETAPA OBRA'!$B:$B,0))="x",'ETAPA OBRA'!S$1&amp;", ","")&amp;
IF(INDEX('ETAPA OBRA'!T:T,MATCH($B5,'ETAPA OBRA'!$B:$B,0))="x",'ETAPA OBRA'!T$1&amp;", ","")&amp;
IF(INDEX('ETAPA OBRA'!U:U,MATCH($B5,'ETAPA OBRA'!$B:$B,0))="x",'ETAPA OBRA'!U$1&amp;", ",""),LEN(
IF(INDEX('ETAPA OBRA'!C:C,MATCH($B5,'ETAPA OBRA'!$B:$B,0))="x",'ETAPA OBRA'!C$1&amp;", ","")&amp;
IF(INDEX('ETAPA OBRA'!D:D,MATCH($B5,'ETAPA OBRA'!$B:$B,0))="x",'ETAPA OBRA'!D$1&amp;", ","")&amp;
IF(INDEX('ETAPA OBRA'!F:F,MATCH($B5,'ETAPA OBRA'!$B:$B,0))="x",'ETAPA OBRA'!F$1&amp;", ","")&amp;
IF(INDEX('ETAPA OBRA'!G:G,MATCH($B5,'ETAPA OBRA'!$B:$B,0))="x",'ETAPA OBRA'!G$1&amp;", ","")&amp;
IF(INDEX('ETAPA OBRA'!H:H,MATCH($B5,'ETAPA OBRA'!$B:$B,0))="x",'ETAPA OBRA'!H$1&amp;", ","")&amp;
IF(INDEX('ETAPA OBRA'!I:I,MATCH($B5,'ETAPA OBRA'!$B:$B,0))="x",'ETAPA OBRA'!I$1&amp;", ","")&amp;
IF(INDEX('ETAPA OBRA'!J:J,MATCH($B5,'ETAPA OBRA'!$B:$B,0))="x",'ETAPA OBRA'!J$1&amp;", ","")&amp;
IF(INDEX('ETAPA OBRA'!K:K,MATCH($B5,'ETAPA OBRA'!$B:$B,0))="x",'ETAPA OBRA'!K$1&amp;", ","")&amp;
IF(INDEX('ETAPA OBRA'!L:L,MATCH($B5,'ETAPA OBRA'!$B:$B,0))="x",'ETAPA OBRA'!L$1&amp;", ","")&amp;
IF(INDEX('ETAPA OBRA'!M:M,MATCH($B5,'ETAPA OBRA'!$B:$B,0))="x",'ETAPA OBRA'!M$1&amp;", ","")&amp;
IF(INDEX('ETAPA OBRA'!N:N,MATCH($B5,'ETAPA OBRA'!$B:$B,0))="x",'ETAPA OBRA'!N$1&amp;", ","")&amp;
IF(INDEX('ETAPA OBRA'!O:O,MATCH($B5,'ETAPA OBRA'!$B:$B,0))="x",'ETAPA OBRA'!O$1&amp;", ","")&amp;
IF(INDEX('ETAPA OBRA'!P:P,MATCH($B5,'ETAPA OBRA'!$B:$B,0))="x",'ETAPA OBRA'!P$1&amp;", ","")&amp;
IF(INDEX('ETAPA OBRA'!Q:Q,MATCH($B5,'ETAPA OBRA'!$B:$B,0))="x",'ETAPA OBRA'!Q$1&amp;", ","")&amp;
IF(INDEX('ETAPA OBRA'!R:R,MATCH($B5,'ETAPA OBRA'!$B:$B,0))="x",'ETAPA OBRA'!R$1&amp;", ","")&amp;
IF(INDEX('ETAPA OBRA'!S:S,MATCH($B5,'ETAPA OBRA'!$B:$B,0))="x",'ETAPA OBRA'!S$1&amp;", ","")&amp;
IF(INDEX('ETAPA OBRA'!T:T,MATCH($B5,'ETAPA OBRA'!$B:$B,0))="x",'ETAPA OBRA'!T$1&amp;", ","")&amp;
IF(INDEX('ETAPA OBRA'!U:U,MATCH($B5,'ETAPA OBRA'!$B:$B,0))="x",'ETAPA OBRA'!U$1&amp;", ","")
)-2),"")</f>
        <v>Finalizado</v>
      </c>
      <c r="N5" s="23" t="str">
        <f t="shared" si="0"/>
        <v>Finalizado</v>
      </c>
      <c r="O5" s="28">
        <v>119837.4</v>
      </c>
      <c r="P5" s="37">
        <f t="shared" si="1"/>
        <v>21121.48</v>
      </c>
      <c r="Q5" s="28">
        <f t="shared" si="2"/>
        <v>98715.92</v>
      </c>
      <c r="R5" s="29">
        <f t="shared" si="3"/>
        <v>0.82374884635347567</v>
      </c>
      <c r="S5" s="23" t="str">
        <f t="shared" si="4"/>
        <v>✅ OK - Fechar Parceiro</v>
      </c>
      <c r="T5" s="23" t="str">
        <f>Cronograma[[#This Row],[STATUS]]</f>
        <v>✅ CONCLUÍDO</v>
      </c>
    </row>
    <row r="6" spans="1:20" ht="14.4" x14ac:dyDescent="0.3">
      <c r="A6" s="23">
        <v>38050011</v>
      </c>
      <c r="B6" s="23" t="str">
        <f>IF(A6&lt;&gt;"","contel-"&amp;TEXT(COUNTA($A$2:A6),"00"),"")</f>
        <v>contel-05</v>
      </c>
      <c r="C6" s="23" t="s">
        <v>35</v>
      </c>
      <c r="D6" s="23" t="s">
        <v>39</v>
      </c>
      <c r="E6" s="23" t="s">
        <v>32</v>
      </c>
      <c r="F6" s="52" t="s">
        <v>40</v>
      </c>
      <c r="G6" s="23">
        <v>1678</v>
      </c>
      <c r="H6" s="24">
        <v>12763</v>
      </c>
      <c r="I6" s="23" t="s">
        <v>25</v>
      </c>
      <c r="J6" s="25">
        <f>SUM(EQUIPE!C6,EQUIPE!E6,EQUIPE!G6,EQUIPE!I6,EQUIPE!K6,EQUIPE!M6,EQUIPE!O6)</f>
        <v>0</v>
      </c>
      <c r="K6" s="25">
        <v>24882.240000000002</v>
      </c>
      <c r="L6" s="25">
        <v>0</v>
      </c>
      <c r="M6" s="27" t="str">
        <f ca="1">IFERROR(LEFT(
IF(INDEX('ETAPA OBRA'!C:C,MATCH($B6,'ETAPA OBRA'!$B:$B,0))="x",'ETAPA OBRA'!C$1&amp;", ","")&amp;
IF(INDEX('ETAPA OBRA'!D:D,MATCH($B6,'ETAPA OBRA'!$B:$B,0))="x",'ETAPA OBRA'!D$1&amp;", ","")&amp;
IF(INDEX('ETAPA OBRA'!F:F,MATCH($B6,'ETAPA OBRA'!$B:$B,0))="x",'ETAPA OBRA'!F$1&amp;", ","")&amp;
IF(INDEX('ETAPA OBRA'!G:G,MATCH($B6,'ETAPA OBRA'!$B:$B,0))="x",'ETAPA OBRA'!G$1&amp;", ","")&amp;
IF(INDEX('ETAPA OBRA'!H:H,MATCH($B6,'ETAPA OBRA'!$B:$B,0))="x",'ETAPA OBRA'!H$1&amp;", ","")&amp;
IF(INDEX('ETAPA OBRA'!I:I,MATCH($B6,'ETAPA OBRA'!$B:$B,0))="x",'ETAPA OBRA'!I$1&amp;", ","")&amp;
IF(INDEX('ETAPA OBRA'!J:J,MATCH($B6,'ETAPA OBRA'!$B:$B,0))="x",'ETAPA OBRA'!J$1&amp;", ","")&amp;
IF(INDEX('ETAPA OBRA'!K:K,MATCH($B6,'ETAPA OBRA'!$B:$B,0))="x",'ETAPA OBRA'!K$1&amp;", ","")&amp;
IF(INDEX('ETAPA OBRA'!L:L,MATCH($B6,'ETAPA OBRA'!$B:$B,0))="x",'ETAPA OBRA'!L$1&amp;", ","")&amp;
IF(INDEX('ETAPA OBRA'!M:M,MATCH($B6,'ETAPA OBRA'!$B:$B,0))="x",'ETAPA OBRA'!M$1&amp;", ","")&amp;
IF(INDEX('ETAPA OBRA'!N:N,MATCH($B6,'ETAPA OBRA'!$B:$B,0))="x",'ETAPA OBRA'!N$1&amp;", ","")&amp;
IF(INDEX('ETAPA OBRA'!O:O,MATCH($B6,'ETAPA OBRA'!$B:$B,0))="x",'ETAPA OBRA'!O$1&amp;", ","")&amp;
IF(INDEX('ETAPA OBRA'!P:P,MATCH($B6,'ETAPA OBRA'!$B:$B,0))="x",'ETAPA OBRA'!P$1&amp;", ","")&amp;
IF(INDEX('ETAPA OBRA'!Q:Q,MATCH($B6,'ETAPA OBRA'!$B:$B,0))="x",'ETAPA OBRA'!Q$1&amp;", ","")&amp;
IF(INDEX('ETAPA OBRA'!R:R,MATCH($B6,'ETAPA OBRA'!$B:$B,0))="x",'ETAPA OBRA'!R$1&amp;", ","")&amp;
IF(INDEX('ETAPA OBRA'!S:S,MATCH($B6,'ETAPA OBRA'!$B:$B,0))="x",'ETAPA OBRA'!S$1&amp;", ","")&amp;
IF(INDEX('ETAPA OBRA'!T:T,MATCH($B6,'ETAPA OBRA'!$B:$B,0))="x",'ETAPA OBRA'!T$1&amp;", ","")&amp;
IF(INDEX('ETAPA OBRA'!U:U,MATCH($B6,'ETAPA OBRA'!$B:$B,0))="x",'ETAPA OBRA'!U$1&amp;", ",""),LEN(
IF(INDEX('ETAPA OBRA'!C:C,MATCH($B6,'ETAPA OBRA'!$B:$B,0))="x",'ETAPA OBRA'!C$1&amp;", ","")&amp;
IF(INDEX('ETAPA OBRA'!D:D,MATCH($B6,'ETAPA OBRA'!$B:$B,0))="x",'ETAPA OBRA'!D$1&amp;", ","")&amp;
IF(INDEX('ETAPA OBRA'!F:F,MATCH($B6,'ETAPA OBRA'!$B:$B,0))="x",'ETAPA OBRA'!F$1&amp;", ","")&amp;
IF(INDEX('ETAPA OBRA'!G:G,MATCH($B6,'ETAPA OBRA'!$B:$B,0))="x",'ETAPA OBRA'!G$1&amp;", ","")&amp;
IF(INDEX('ETAPA OBRA'!H:H,MATCH($B6,'ETAPA OBRA'!$B:$B,0))="x",'ETAPA OBRA'!H$1&amp;", ","")&amp;
IF(INDEX('ETAPA OBRA'!I:I,MATCH($B6,'ETAPA OBRA'!$B:$B,0))="x",'ETAPA OBRA'!I$1&amp;", ","")&amp;
IF(INDEX('ETAPA OBRA'!J:J,MATCH($B6,'ETAPA OBRA'!$B:$B,0))="x",'ETAPA OBRA'!J$1&amp;", ","")&amp;
IF(INDEX('ETAPA OBRA'!K:K,MATCH($B6,'ETAPA OBRA'!$B:$B,0))="x",'ETAPA OBRA'!K$1&amp;", ","")&amp;
IF(INDEX('ETAPA OBRA'!L:L,MATCH($B6,'ETAPA OBRA'!$B:$B,0))="x",'ETAPA OBRA'!L$1&amp;", ","")&amp;
IF(INDEX('ETAPA OBRA'!M:M,MATCH($B6,'ETAPA OBRA'!$B:$B,0))="x",'ETAPA OBRA'!M$1&amp;", ","")&amp;
IF(INDEX('ETAPA OBRA'!N:N,MATCH($B6,'ETAPA OBRA'!$B:$B,0))="x",'ETAPA OBRA'!N$1&amp;", ","")&amp;
IF(INDEX('ETAPA OBRA'!O:O,MATCH($B6,'ETAPA OBRA'!$B:$B,0))="x",'ETAPA OBRA'!O$1&amp;", ","")&amp;
IF(INDEX('ETAPA OBRA'!P:P,MATCH($B6,'ETAPA OBRA'!$B:$B,0))="x",'ETAPA OBRA'!P$1&amp;", ","")&amp;
IF(INDEX('ETAPA OBRA'!Q:Q,MATCH($B6,'ETAPA OBRA'!$B:$B,0))="x",'ETAPA OBRA'!Q$1&amp;", ","")&amp;
IF(INDEX('ETAPA OBRA'!R:R,MATCH($B6,'ETAPA OBRA'!$B:$B,0))="x",'ETAPA OBRA'!R$1&amp;", ","")&amp;
IF(INDEX('ETAPA OBRA'!S:S,MATCH($B6,'ETAPA OBRA'!$B:$B,0))="x",'ETAPA OBRA'!S$1&amp;", ","")&amp;
IF(INDEX('ETAPA OBRA'!T:T,MATCH($B6,'ETAPA OBRA'!$B:$B,0))="x",'ETAPA OBRA'!T$1&amp;", ","")&amp;
IF(INDEX('ETAPA OBRA'!U:U,MATCH($B6,'ETAPA OBRA'!$B:$B,0))="x",'ETAPA OBRA'!U$1&amp;", ","")
)-2),"")</f>
        <v xml:space="preserve">Laudo de verticalidade, Envio RFI </v>
      </c>
      <c r="N6" s="23" t="str">
        <f t="shared" ca="1" si="0"/>
        <v>Em andamento</v>
      </c>
      <c r="O6" s="28">
        <v>89264</v>
      </c>
      <c r="P6" s="37">
        <f t="shared" si="1"/>
        <v>24882.240000000002</v>
      </c>
      <c r="Q6" s="28">
        <f t="shared" si="2"/>
        <v>64381.759999999995</v>
      </c>
      <c r="R6" s="29">
        <f t="shared" si="3"/>
        <v>0.7212511202724502</v>
      </c>
      <c r="S6" s="23" t="str">
        <f t="shared" si="4"/>
        <v>✅ OK - Fechar Parceiro</v>
      </c>
      <c r="T6" s="23" t="str">
        <f ca="1">Cronograma[[#This Row],[STATUS]]</f>
        <v>⏰ ATRASADO</v>
      </c>
    </row>
    <row r="7" spans="1:20" ht="14.4" x14ac:dyDescent="0.3">
      <c r="A7" s="23">
        <v>38050012</v>
      </c>
      <c r="B7" s="23" t="str">
        <f>IF(A7&lt;&gt;"","contel-"&amp;TEXT(COUNTA($A$2:A7),"00"),"")</f>
        <v>contel-06</v>
      </c>
      <c r="C7" s="23" t="s">
        <v>35</v>
      </c>
      <c r="D7" s="23" t="s">
        <v>39</v>
      </c>
      <c r="E7" s="23" t="s">
        <v>32</v>
      </c>
      <c r="F7" s="52" t="s">
        <v>41</v>
      </c>
      <c r="G7" s="23">
        <v>1679</v>
      </c>
      <c r="H7" s="24">
        <v>12764</v>
      </c>
      <c r="I7" s="23" t="s">
        <v>25</v>
      </c>
      <c r="J7" s="25">
        <f>SUM(EQUIPE!C7,EQUIPE!E7,EQUIPE!G7,EQUIPE!I7,EQUIPE!K7,EQUIPE!M7,EQUIPE!O7)</f>
        <v>0</v>
      </c>
      <c r="K7" s="25">
        <v>16990.400000000001</v>
      </c>
      <c r="L7" s="25">
        <v>11517.19</v>
      </c>
      <c r="M7" s="27" t="str">
        <f ca="1">IFERROR(LEFT(
IF(INDEX('ETAPA OBRA'!C:C,MATCH($B7,'ETAPA OBRA'!$B:$B,0))="x",'ETAPA OBRA'!C$1&amp;", ","")&amp;
IF(INDEX('ETAPA OBRA'!D:D,MATCH($B7,'ETAPA OBRA'!$B:$B,0))="x",'ETAPA OBRA'!D$1&amp;", ","")&amp;
IF(INDEX('ETAPA OBRA'!F:F,MATCH($B7,'ETAPA OBRA'!$B:$B,0))="x",'ETAPA OBRA'!F$1&amp;", ","")&amp;
IF(INDEX('ETAPA OBRA'!G:G,MATCH($B7,'ETAPA OBRA'!$B:$B,0))="x",'ETAPA OBRA'!G$1&amp;", ","")&amp;
IF(INDEX('ETAPA OBRA'!H:H,MATCH($B7,'ETAPA OBRA'!$B:$B,0))="x",'ETAPA OBRA'!H$1&amp;", ","")&amp;
IF(INDEX('ETAPA OBRA'!I:I,MATCH($B7,'ETAPA OBRA'!$B:$B,0))="x",'ETAPA OBRA'!I$1&amp;", ","")&amp;
IF(INDEX('ETAPA OBRA'!J:J,MATCH($B7,'ETAPA OBRA'!$B:$B,0))="x",'ETAPA OBRA'!J$1&amp;", ","")&amp;
IF(INDEX('ETAPA OBRA'!K:K,MATCH($B7,'ETAPA OBRA'!$B:$B,0))="x",'ETAPA OBRA'!K$1&amp;", ","")&amp;
IF(INDEX('ETAPA OBRA'!L:L,MATCH($B7,'ETAPA OBRA'!$B:$B,0))="x",'ETAPA OBRA'!L$1&amp;", ","")&amp;
IF(INDEX('ETAPA OBRA'!M:M,MATCH($B7,'ETAPA OBRA'!$B:$B,0))="x",'ETAPA OBRA'!M$1&amp;", ","")&amp;
IF(INDEX('ETAPA OBRA'!N:N,MATCH($B7,'ETAPA OBRA'!$B:$B,0))="x",'ETAPA OBRA'!N$1&amp;", ","")&amp;
IF(INDEX('ETAPA OBRA'!O:O,MATCH($B7,'ETAPA OBRA'!$B:$B,0))="x",'ETAPA OBRA'!O$1&amp;", ","")&amp;
IF(INDEX('ETAPA OBRA'!P:P,MATCH($B7,'ETAPA OBRA'!$B:$B,0))="x",'ETAPA OBRA'!P$1&amp;", ","")&amp;
IF(INDEX('ETAPA OBRA'!Q:Q,MATCH($B7,'ETAPA OBRA'!$B:$B,0))="x",'ETAPA OBRA'!Q$1&amp;", ","")&amp;
IF(INDEX('ETAPA OBRA'!R:R,MATCH($B7,'ETAPA OBRA'!$B:$B,0))="x",'ETAPA OBRA'!R$1&amp;", ","")&amp;
IF(INDEX('ETAPA OBRA'!S:S,MATCH($B7,'ETAPA OBRA'!$B:$B,0))="x",'ETAPA OBRA'!S$1&amp;", ","")&amp;
IF(INDEX('ETAPA OBRA'!T:T,MATCH($B7,'ETAPA OBRA'!$B:$B,0))="x",'ETAPA OBRA'!T$1&amp;", ","")&amp;
IF(INDEX('ETAPA OBRA'!U:U,MATCH($B7,'ETAPA OBRA'!$B:$B,0))="x",'ETAPA OBRA'!U$1&amp;", ",""),LEN(
IF(INDEX('ETAPA OBRA'!C:C,MATCH($B7,'ETAPA OBRA'!$B:$B,0))="x",'ETAPA OBRA'!C$1&amp;", ","")&amp;
IF(INDEX('ETAPA OBRA'!D:D,MATCH($B7,'ETAPA OBRA'!$B:$B,0))="x",'ETAPA OBRA'!D$1&amp;", ","")&amp;
IF(INDEX('ETAPA OBRA'!F:F,MATCH($B7,'ETAPA OBRA'!$B:$B,0))="x",'ETAPA OBRA'!F$1&amp;", ","")&amp;
IF(INDEX('ETAPA OBRA'!G:G,MATCH($B7,'ETAPA OBRA'!$B:$B,0))="x",'ETAPA OBRA'!G$1&amp;", ","")&amp;
IF(INDEX('ETAPA OBRA'!H:H,MATCH($B7,'ETAPA OBRA'!$B:$B,0))="x",'ETAPA OBRA'!H$1&amp;", ","")&amp;
IF(INDEX('ETAPA OBRA'!I:I,MATCH($B7,'ETAPA OBRA'!$B:$B,0))="x",'ETAPA OBRA'!I$1&amp;", ","")&amp;
IF(INDEX('ETAPA OBRA'!J:J,MATCH($B7,'ETAPA OBRA'!$B:$B,0))="x",'ETAPA OBRA'!J$1&amp;", ","")&amp;
IF(INDEX('ETAPA OBRA'!K:K,MATCH($B7,'ETAPA OBRA'!$B:$B,0))="x",'ETAPA OBRA'!K$1&amp;", ","")&amp;
IF(INDEX('ETAPA OBRA'!L:L,MATCH($B7,'ETAPA OBRA'!$B:$B,0))="x",'ETAPA OBRA'!L$1&amp;", ","")&amp;
IF(INDEX('ETAPA OBRA'!M:M,MATCH($B7,'ETAPA OBRA'!$B:$B,0))="x",'ETAPA OBRA'!M$1&amp;", ","")&amp;
IF(INDEX('ETAPA OBRA'!N:N,MATCH($B7,'ETAPA OBRA'!$B:$B,0))="x",'ETAPA OBRA'!N$1&amp;", ","")&amp;
IF(INDEX('ETAPA OBRA'!O:O,MATCH($B7,'ETAPA OBRA'!$B:$B,0))="x",'ETAPA OBRA'!O$1&amp;", ","")&amp;
IF(INDEX('ETAPA OBRA'!P:P,MATCH($B7,'ETAPA OBRA'!$B:$B,0))="x",'ETAPA OBRA'!P$1&amp;", ","")&amp;
IF(INDEX('ETAPA OBRA'!Q:Q,MATCH($B7,'ETAPA OBRA'!$B:$B,0))="x",'ETAPA OBRA'!Q$1&amp;", ","")&amp;
IF(INDEX('ETAPA OBRA'!R:R,MATCH($B7,'ETAPA OBRA'!$B:$B,0))="x",'ETAPA OBRA'!R$1&amp;", ","")&amp;
IF(INDEX('ETAPA OBRA'!S:S,MATCH($B7,'ETAPA OBRA'!$B:$B,0))="x",'ETAPA OBRA'!S$1&amp;", ","")&amp;
IF(INDEX('ETAPA OBRA'!T:T,MATCH($B7,'ETAPA OBRA'!$B:$B,0))="x",'ETAPA OBRA'!T$1&amp;", ","")&amp;
IF(INDEX('ETAPA OBRA'!U:U,MATCH($B7,'ETAPA OBRA'!$B:$B,0))="x",'ETAPA OBRA'!U$1&amp;", ","")
)-2),"")</f>
        <v xml:space="preserve">Laudo de verticalidade, Envio RFI </v>
      </c>
      <c r="N7" s="23" t="str">
        <f t="shared" ca="1" si="0"/>
        <v>Em andamento</v>
      </c>
      <c r="O7" s="28">
        <v>89264</v>
      </c>
      <c r="P7" s="37">
        <f t="shared" si="1"/>
        <v>28507.590000000004</v>
      </c>
      <c r="Q7" s="28">
        <f t="shared" si="2"/>
        <v>60756.409999999996</v>
      </c>
      <c r="R7" s="29">
        <f t="shared" si="3"/>
        <v>0.68063732299695279</v>
      </c>
      <c r="S7" s="23" t="str">
        <f t="shared" si="4"/>
        <v>✅ OK - Fechar Parceiro</v>
      </c>
      <c r="T7" s="23" t="str">
        <f ca="1">Cronograma[[#This Row],[STATUS]]</f>
        <v>⏰ ATRASADO</v>
      </c>
    </row>
    <row r="8" spans="1:20" ht="14.4" x14ac:dyDescent="0.3">
      <c r="A8" s="23">
        <v>33050064</v>
      </c>
      <c r="B8" s="23" t="str">
        <f>IF(A8&lt;&gt;"","contel-"&amp;TEXT(COUNTA($A$2:A8),"00"),"")</f>
        <v>contel-07</v>
      </c>
      <c r="C8" s="23" t="s">
        <v>35</v>
      </c>
      <c r="D8" s="23" t="s">
        <v>42</v>
      </c>
      <c r="E8" s="23" t="s">
        <v>32</v>
      </c>
      <c r="F8" s="52" t="s">
        <v>43</v>
      </c>
      <c r="G8" s="23">
        <v>1680</v>
      </c>
      <c r="H8" s="24">
        <v>12765</v>
      </c>
      <c r="I8" s="23" t="s">
        <v>25</v>
      </c>
      <c r="J8" s="25">
        <f>SUM(EQUIPE!C8,EQUIPE!E8,EQUIPE!G8,EQUIPE!I8,EQUIPE!K8,EQUIPE!M8,EQUIPE!O8)</f>
        <v>26000</v>
      </c>
      <c r="K8" s="25">
        <v>15959.77</v>
      </c>
      <c r="L8" s="25">
        <v>13697.3</v>
      </c>
      <c r="M8" s="27" t="str">
        <f ca="1">IFERROR(LEFT(
IF(INDEX('ETAPA OBRA'!C:C,MATCH($B8,'ETAPA OBRA'!$B:$B,0))="x",'ETAPA OBRA'!C$1&amp;", ","")&amp;
IF(INDEX('ETAPA OBRA'!D:D,MATCH($B8,'ETAPA OBRA'!$B:$B,0))="x",'ETAPA OBRA'!D$1&amp;", ","")&amp;
IF(INDEX('ETAPA OBRA'!F:F,MATCH($B8,'ETAPA OBRA'!$B:$B,0))="x",'ETAPA OBRA'!F$1&amp;", ","")&amp;
IF(INDEX('ETAPA OBRA'!G:G,MATCH($B8,'ETAPA OBRA'!$B:$B,0))="x",'ETAPA OBRA'!G$1&amp;", ","")&amp;
IF(INDEX('ETAPA OBRA'!H:H,MATCH($B8,'ETAPA OBRA'!$B:$B,0))="x",'ETAPA OBRA'!H$1&amp;", ","")&amp;
IF(INDEX('ETAPA OBRA'!I:I,MATCH($B8,'ETAPA OBRA'!$B:$B,0))="x",'ETAPA OBRA'!I$1&amp;", ","")&amp;
IF(INDEX('ETAPA OBRA'!J:J,MATCH($B8,'ETAPA OBRA'!$B:$B,0))="x",'ETAPA OBRA'!J$1&amp;", ","")&amp;
IF(INDEX('ETAPA OBRA'!K:K,MATCH($B8,'ETAPA OBRA'!$B:$B,0))="x",'ETAPA OBRA'!K$1&amp;", ","")&amp;
IF(INDEX('ETAPA OBRA'!L:L,MATCH($B8,'ETAPA OBRA'!$B:$B,0))="x",'ETAPA OBRA'!L$1&amp;", ","")&amp;
IF(INDEX('ETAPA OBRA'!M:M,MATCH($B8,'ETAPA OBRA'!$B:$B,0))="x",'ETAPA OBRA'!M$1&amp;", ","")&amp;
IF(INDEX('ETAPA OBRA'!N:N,MATCH($B8,'ETAPA OBRA'!$B:$B,0))="x",'ETAPA OBRA'!N$1&amp;", ","")&amp;
IF(INDEX('ETAPA OBRA'!O:O,MATCH($B8,'ETAPA OBRA'!$B:$B,0))="x",'ETAPA OBRA'!O$1&amp;", ","")&amp;
IF(INDEX('ETAPA OBRA'!P:P,MATCH($B8,'ETAPA OBRA'!$B:$B,0))="x",'ETAPA OBRA'!P$1&amp;", ","")&amp;
IF(INDEX('ETAPA OBRA'!Q:Q,MATCH($B8,'ETAPA OBRA'!$B:$B,0))="x",'ETAPA OBRA'!Q$1&amp;", ","")&amp;
IF(INDEX('ETAPA OBRA'!R:R,MATCH($B8,'ETAPA OBRA'!$B:$B,0))="x",'ETAPA OBRA'!R$1&amp;", ","")&amp;
IF(INDEX('ETAPA OBRA'!S:S,MATCH($B8,'ETAPA OBRA'!$B:$B,0))="x",'ETAPA OBRA'!S$1&amp;", ","")&amp;
IF(INDEX('ETAPA OBRA'!T:T,MATCH($B8,'ETAPA OBRA'!$B:$B,0))="x",'ETAPA OBRA'!T$1&amp;", ","")&amp;
IF(INDEX('ETAPA OBRA'!U:U,MATCH($B8,'ETAPA OBRA'!$B:$B,0))="x",'ETAPA OBRA'!U$1&amp;", ",""),LEN(
IF(INDEX('ETAPA OBRA'!C:C,MATCH($B8,'ETAPA OBRA'!$B:$B,0))="x",'ETAPA OBRA'!C$1&amp;", ","")&amp;
IF(INDEX('ETAPA OBRA'!D:D,MATCH($B8,'ETAPA OBRA'!$B:$B,0))="x",'ETAPA OBRA'!D$1&amp;", ","")&amp;
IF(INDEX('ETAPA OBRA'!F:F,MATCH($B8,'ETAPA OBRA'!$B:$B,0))="x",'ETAPA OBRA'!F$1&amp;", ","")&amp;
IF(INDEX('ETAPA OBRA'!G:G,MATCH($B8,'ETAPA OBRA'!$B:$B,0))="x",'ETAPA OBRA'!G$1&amp;", ","")&amp;
IF(INDEX('ETAPA OBRA'!H:H,MATCH($B8,'ETAPA OBRA'!$B:$B,0))="x",'ETAPA OBRA'!H$1&amp;", ","")&amp;
IF(INDEX('ETAPA OBRA'!I:I,MATCH($B8,'ETAPA OBRA'!$B:$B,0))="x",'ETAPA OBRA'!I$1&amp;", ","")&amp;
IF(INDEX('ETAPA OBRA'!J:J,MATCH($B8,'ETAPA OBRA'!$B:$B,0))="x",'ETAPA OBRA'!J$1&amp;", ","")&amp;
IF(INDEX('ETAPA OBRA'!K:K,MATCH($B8,'ETAPA OBRA'!$B:$B,0))="x",'ETAPA OBRA'!K$1&amp;", ","")&amp;
IF(INDEX('ETAPA OBRA'!L:L,MATCH($B8,'ETAPA OBRA'!$B:$B,0))="x",'ETAPA OBRA'!L$1&amp;", ","")&amp;
IF(INDEX('ETAPA OBRA'!M:M,MATCH($B8,'ETAPA OBRA'!$B:$B,0))="x",'ETAPA OBRA'!M$1&amp;", ","")&amp;
IF(INDEX('ETAPA OBRA'!N:N,MATCH($B8,'ETAPA OBRA'!$B:$B,0))="x",'ETAPA OBRA'!N$1&amp;", ","")&amp;
IF(INDEX('ETAPA OBRA'!O:O,MATCH($B8,'ETAPA OBRA'!$B:$B,0))="x",'ETAPA OBRA'!O$1&amp;", ","")&amp;
IF(INDEX('ETAPA OBRA'!P:P,MATCH($B8,'ETAPA OBRA'!$B:$B,0))="x",'ETAPA OBRA'!P$1&amp;", ","")&amp;
IF(INDEX('ETAPA OBRA'!Q:Q,MATCH($B8,'ETAPA OBRA'!$B:$B,0))="x",'ETAPA OBRA'!Q$1&amp;", ","")&amp;
IF(INDEX('ETAPA OBRA'!R:R,MATCH($B8,'ETAPA OBRA'!$B:$B,0))="x",'ETAPA OBRA'!R$1&amp;", ","")&amp;
IF(INDEX('ETAPA OBRA'!S:S,MATCH($B8,'ETAPA OBRA'!$B:$B,0))="x",'ETAPA OBRA'!S$1&amp;", ","")&amp;
IF(INDEX('ETAPA OBRA'!T:T,MATCH($B8,'ETAPA OBRA'!$B:$B,0))="x",'ETAPA OBRA'!T$1&amp;", ","")&amp;
IF(INDEX('ETAPA OBRA'!U:U,MATCH($B8,'ETAPA OBRA'!$B:$B,0))="x",'ETAPA OBRA'!U$1&amp;", ","")
)-2),"")</f>
        <v xml:space="preserve">Laudo de verticalidade, Envio RFI </v>
      </c>
      <c r="N8" s="23" t="str">
        <f t="shared" ca="1" si="0"/>
        <v>Em andamento</v>
      </c>
      <c r="O8" s="28">
        <v>89264</v>
      </c>
      <c r="P8" s="37">
        <f t="shared" si="1"/>
        <v>55657.070000000007</v>
      </c>
      <c r="Q8" s="28">
        <f t="shared" si="2"/>
        <v>33606.929999999993</v>
      </c>
      <c r="R8" s="29">
        <f t="shared" si="3"/>
        <v>0.37648917816813043</v>
      </c>
      <c r="S8" s="23" t="str">
        <f t="shared" si="4"/>
        <v>✅ OK - Fechar Parceiro</v>
      </c>
      <c r="T8" s="23" t="str">
        <f ca="1">Cronograma[[#This Row],[STATUS]]</f>
        <v>⏰ ATRASADO</v>
      </c>
    </row>
    <row r="9" spans="1:20" ht="14.4" x14ac:dyDescent="0.3">
      <c r="A9" s="23">
        <v>38050013</v>
      </c>
      <c r="B9" s="23" t="str">
        <f>IF(A9&lt;&gt;"","contel-"&amp;TEXT(COUNTA($A$2:A9),"00"),"")</f>
        <v>contel-08</v>
      </c>
      <c r="C9" s="23" t="s">
        <v>35</v>
      </c>
      <c r="D9" s="23" t="s">
        <v>44</v>
      </c>
      <c r="E9" s="23" t="s">
        <v>32</v>
      </c>
      <c r="F9" s="52" t="s">
        <v>45</v>
      </c>
      <c r="G9" s="23">
        <v>1681</v>
      </c>
      <c r="H9" s="24">
        <v>12766</v>
      </c>
      <c r="I9" s="23" t="s">
        <v>25</v>
      </c>
      <c r="J9" s="25">
        <f>SUM(EQUIPE!C9,EQUIPE!E9,EQUIPE!G9,EQUIPE!I9,EQUIPE!K9,EQUIPE!M9,EQUIPE!O9)</f>
        <v>27500</v>
      </c>
      <c r="K9" s="25">
        <v>27453.33</v>
      </c>
      <c r="L9" s="25">
        <v>1490</v>
      </c>
      <c r="M9" s="27" t="str">
        <f ca="1">IFERROR(LEFT(
IF(INDEX('ETAPA OBRA'!C:C,MATCH($B9,'ETAPA OBRA'!$B:$B,0))="x",'ETAPA OBRA'!C$1&amp;", ","")&amp;
IF(INDEX('ETAPA OBRA'!D:D,MATCH($B9,'ETAPA OBRA'!$B:$B,0))="x",'ETAPA OBRA'!D$1&amp;", ","")&amp;
IF(INDEX('ETAPA OBRA'!F:F,MATCH($B9,'ETAPA OBRA'!$B:$B,0))="x",'ETAPA OBRA'!F$1&amp;", ","")&amp;
IF(INDEX('ETAPA OBRA'!G:G,MATCH($B9,'ETAPA OBRA'!$B:$B,0))="x",'ETAPA OBRA'!G$1&amp;", ","")&amp;
IF(INDEX('ETAPA OBRA'!H:H,MATCH($B9,'ETAPA OBRA'!$B:$B,0))="x",'ETAPA OBRA'!H$1&amp;", ","")&amp;
IF(INDEX('ETAPA OBRA'!I:I,MATCH($B9,'ETAPA OBRA'!$B:$B,0))="x",'ETAPA OBRA'!I$1&amp;", ","")&amp;
IF(INDEX('ETAPA OBRA'!J:J,MATCH($B9,'ETAPA OBRA'!$B:$B,0))="x",'ETAPA OBRA'!J$1&amp;", ","")&amp;
IF(INDEX('ETAPA OBRA'!K:K,MATCH($B9,'ETAPA OBRA'!$B:$B,0))="x",'ETAPA OBRA'!K$1&amp;", ","")&amp;
IF(INDEX('ETAPA OBRA'!L:L,MATCH($B9,'ETAPA OBRA'!$B:$B,0))="x",'ETAPA OBRA'!L$1&amp;", ","")&amp;
IF(INDEX('ETAPA OBRA'!M:M,MATCH($B9,'ETAPA OBRA'!$B:$B,0))="x",'ETAPA OBRA'!M$1&amp;", ","")&amp;
IF(INDEX('ETAPA OBRA'!N:N,MATCH($B9,'ETAPA OBRA'!$B:$B,0))="x",'ETAPA OBRA'!N$1&amp;", ","")&amp;
IF(INDEX('ETAPA OBRA'!O:O,MATCH($B9,'ETAPA OBRA'!$B:$B,0))="x",'ETAPA OBRA'!O$1&amp;", ","")&amp;
IF(INDEX('ETAPA OBRA'!P:P,MATCH($B9,'ETAPA OBRA'!$B:$B,0))="x",'ETAPA OBRA'!P$1&amp;", ","")&amp;
IF(INDEX('ETAPA OBRA'!Q:Q,MATCH($B9,'ETAPA OBRA'!$B:$B,0))="x",'ETAPA OBRA'!Q$1&amp;", ","")&amp;
IF(INDEX('ETAPA OBRA'!R:R,MATCH($B9,'ETAPA OBRA'!$B:$B,0))="x",'ETAPA OBRA'!R$1&amp;", ","")&amp;
IF(INDEX('ETAPA OBRA'!S:S,MATCH($B9,'ETAPA OBRA'!$B:$B,0))="x",'ETAPA OBRA'!S$1&amp;", ","")&amp;
IF(INDEX('ETAPA OBRA'!T:T,MATCH($B9,'ETAPA OBRA'!$B:$B,0))="x",'ETAPA OBRA'!T$1&amp;", ","")&amp;
IF(INDEX('ETAPA OBRA'!U:U,MATCH($B9,'ETAPA OBRA'!$B:$B,0))="x",'ETAPA OBRA'!U$1&amp;", ",""),LEN(
IF(INDEX('ETAPA OBRA'!C:C,MATCH($B9,'ETAPA OBRA'!$B:$B,0))="x",'ETAPA OBRA'!C$1&amp;", ","")&amp;
IF(INDEX('ETAPA OBRA'!D:D,MATCH($B9,'ETAPA OBRA'!$B:$B,0))="x",'ETAPA OBRA'!D$1&amp;", ","")&amp;
IF(INDEX('ETAPA OBRA'!F:F,MATCH($B9,'ETAPA OBRA'!$B:$B,0))="x",'ETAPA OBRA'!F$1&amp;", ","")&amp;
IF(INDEX('ETAPA OBRA'!G:G,MATCH($B9,'ETAPA OBRA'!$B:$B,0))="x",'ETAPA OBRA'!G$1&amp;", ","")&amp;
IF(INDEX('ETAPA OBRA'!H:H,MATCH($B9,'ETAPA OBRA'!$B:$B,0))="x",'ETAPA OBRA'!H$1&amp;", ","")&amp;
IF(INDEX('ETAPA OBRA'!I:I,MATCH($B9,'ETAPA OBRA'!$B:$B,0))="x",'ETAPA OBRA'!I$1&amp;", ","")&amp;
IF(INDEX('ETAPA OBRA'!J:J,MATCH($B9,'ETAPA OBRA'!$B:$B,0))="x",'ETAPA OBRA'!J$1&amp;", ","")&amp;
IF(INDEX('ETAPA OBRA'!K:K,MATCH($B9,'ETAPA OBRA'!$B:$B,0))="x",'ETAPA OBRA'!K$1&amp;", ","")&amp;
IF(INDEX('ETAPA OBRA'!L:L,MATCH($B9,'ETAPA OBRA'!$B:$B,0))="x",'ETAPA OBRA'!L$1&amp;", ","")&amp;
IF(INDEX('ETAPA OBRA'!M:M,MATCH($B9,'ETAPA OBRA'!$B:$B,0))="x",'ETAPA OBRA'!M$1&amp;", ","")&amp;
IF(INDEX('ETAPA OBRA'!N:N,MATCH($B9,'ETAPA OBRA'!$B:$B,0))="x",'ETAPA OBRA'!N$1&amp;", ","")&amp;
IF(INDEX('ETAPA OBRA'!O:O,MATCH($B9,'ETAPA OBRA'!$B:$B,0))="x",'ETAPA OBRA'!O$1&amp;", ","")&amp;
IF(INDEX('ETAPA OBRA'!P:P,MATCH($B9,'ETAPA OBRA'!$B:$B,0))="x",'ETAPA OBRA'!P$1&amp;", ","")&amp;
IF(INDEX('ETAPA OBRA'!Q:Q,MATCH($B9,'ETAPA OBRA'!$B:$B,0))="x",'ETAPA OBRA'!Q$1&amp;", ","")&amp;
IF(INDEX('ETAPA OBRA'!R:R,MATCH($B9,'ETAPA OBRA'!$B:$B,0))="x",'ETAPA OBRA'!R$1&amp;", ","")&amp;
IF(INDEX('ETAPA OBRA'!S:S,MATCH($B9,'ETAPA OBRA'!$B:$B,0))="x",'ETAPA OBRA'!S$1&amp;", ","")&amp;
IF(INDEX('ETAPA OBRA'!T:T,MATCH($B9,'ETAPA OBRA'!$B:$B,0))="x",'ETAPA OBRA'!T$1&amp;", ","")&amp;
IF(INDEX('ETAPA OBRA'!U:U,MATCH($B9,'ETAPA OBRA'!$B:$B,0))="x",'ETAPA OBRA'!U$1&amp;", ","")
)-2),"")</f>
        <v xml:space="preserve">Laudo de verticalidade, Envio RFI </v>
      </c>
      <c r="N9" s="23" t="str">
        <f t="shared" ca="1" si="0"/>
        <v>Em andamento</v>
      </c>
      <c r="O9" s="28">
        <v>89264</v>
      </c>
      <c r="P9" s="37">
        <f t="shared" si="1"/>
        <v>56443.33</v>
      </c>
      <c r="Q9" s="28">
        <f t="shared" si="2"/>
        <v>32820.67</v>
      </c>
      <c r="R9" s="29">
        <f t="shared" si="3"/>
        <v>0.36768092400071695</v>
      </c>
      <c r="S9" s="23" t="str">
        <f t="shared" si="4"/>
        <v>✅ OK - Fechar Parceiro</v>
      </c>
      <c r="T9" s="23" t="str">
        <f ca="1">Cronograma[[#This Row],[STATUS]]</f>
        <v>🕓 EM ANDAMENTO</v>
      </c>
    </row>
    <row r="10" spans="1:20" ht="14.4" x14ac:dyDescent="0.3">
      <c r="A10" s="23">
        <v>38050008</v>
      </c>
      <c r="B10" s="23" t="str">
        <f>IF(A10&lt;&gt;"","contel-"&amp;TEXT(COUNTA($A$2:A10),"00"),"")</f>
        <v>contel-09</v>
      </c>
      <c r="C10" s="23" t="s">
        <v>35</v>
      </c>
      <c r="D10" s="23" t="s">
        <v>46</v>
      </c>
      <c r="E10" s="23" t="s">
        <v>32</v>
      </c>
      <c r="F10" s="52" t="s">
        <v>47</v>
      </c>
      <c r="G10" s="23">
        <v>1682</v>
      </c>
      <c r="H10" s="24">
        <v>12767</v>
      </c>
      <c r="I10" s="23" t="s">
        <v>25</v>
      </c>
      <c r="J10" s="25">
        <f>SUM(EQUIPE!C10,EQUIPE!E10,EQUIPE!G10,EQUIPE!I10,EQUIPE!K10,EQUIPE!M10,EQUIPE!O10)</f>
        <v>27000</v>
      </c>
      <c r="K10" s="25">
        <v>20963.080000000002</v>
      </c>
      <c r="L10" s="25">
        <v>0</v>
      </c>
      <c r="M10" s="27" t="str">
        <f ca="1">IFERROR(LEFT(
IF(INDEX('ETAPA OBRA'!C:C,MATCH($B10,'ETAPA OBRA'!$B:$B,0))="x",'ETAPA OBRA'!C$1&amp;", ","")&amp;
IF(INDEX('ETAPA OBRA'!D:D,MATCH($B10,'ETAPA OBRA'!$B:$B,0))="x",'ETAPA OBRA'!D$1&amp;", ","")&amp;
IF(INDEX('ETAPA OBRA'!F:F,MATCH($B10,'ETAPA OBRA'!$B:$B,0))="x",'ETAPA OBRA'!F$1&amp;", ","")&amp;
IF(INDEX('ETAPA OBRA'!G:G,MATCH($B10,'ETAPA OBRA'!$B:$B,0))="x",'ETAPA OBRA'!G$1&amp;", ","")&amp;
IF(INDEX('ETAPA OBRA'!H:H,MATCH($B10,'ETAPA OBRA'!$B:$B,0))="x",'ETAPA OBRA'!H$1&amp;", ","")&amp;
IF(INDEX('ETAPA OBRA'!I:I,MATCH($B10,'ETAPA OBRA'!$B:$B,0))="x",'ETAPA OBRA'!I$1&amp;", ","")&amp;
IF(INDEX('ETAPA OBRA'!J:J,MATCH($B10,'ETAPA OBRA'!$B:$B,0))="x",'ETAPA OBRA'!J$1&amp;", ","")&amp;
IF(INDEX('ETAPA OBRA'!K:K,MATCH($B10,'ETAPA OBRA'!$B:$B,0))="x",'ETAPA OBRA'!K$1&amp;", ","")&amp;
IF(INDEX('ETAPA OBRA'!L:L,MATCH($B10,'ETAPA OBRA'!$B:$B,0))="x",'ETAPA OBRA'!L$1&amp;", ","")&amp;
IF(INDEX('ETAPA OBRA'!M:M,MATCH($B10,'ETAPA OBRA'!$B:$B,0))="x",'ETAPA OBRA'!M$1&amp;", ","")&amp;
IF(INDEX('ETAPA OBRA'!N:N,MATCH($B10,'ETAPA OBRA'!$B:$B,0))="x",'ETAPA OBRA'!N$1&amp;", ","")&amp;
IF(INDEX('ETAPA OBRA'!O:O,MATCH($B10,'ETAPA OBRA'!$B:$B,0))="x",'ETAPA OBRA'!O$1&amp;", ","")&amp;
IF(INDEX('ETAPA OBRA'!P:P,MATCH($B10,'ETAPA OBRA'!$B:$B,0))="x",'ETAPA OBRA'!P$1&amp;", ","")&amp;
IF(INDEX('ETAPA OBRA'!Q:Q,MATCH($B10,'ETAPA OBRA'!$B:$B,0))="x",'ETAPA OBRA'!Q$1&amp;", ","")&amp;
IF(INDEX('ETAPA OBRA'!R:R,MATCH($B10,'ETAPA OBRA'!$B:$B,0))="x",'ETAPA OBRA'!R$1&amp;", ","")&amp;
IF(INDEX('ETAPA OBRA'!S:S,MATCH($B10,'ETAPA OBRA'!$B:$B,0))="x",'ETAPA OBRA'!S$1&amp;", ","")&amp;
IF(INDEX('ETAPA OBRA'!T:T,MATCH($B10,'ETAPA OBRA'!$B:$B,0))="x",'ETAPA OBRA'!T$1&amp;", ","")&amp;
IF(INDEX('ETAPA OBRA'!U:U,MATCH($B10,'ETAPA OBRA'!$B:$B,0))="x",'ETAPA OBRA'!U$1&amp;", ",""),LEN(
IF(INDEX('ETAPA OBRA'!C:C,MATCH($B10,'ETAPA OBRA'!$B:$B,0))="x",'ETAPA OBRA'!C$1&amp;", ","")&amp;
IF(INDEX('ETAPA OBRA'!D:D,MATCH($B10,'ETAPA OBRA'!$B:$B,0))="x",'ETAPA OBRA'!D$1&amp;", ","")&amp;
IF(INDEX('ETAPA OBRA'!F:F,MATCH($B10,'ETAPA OBRA'!$B:$B,0))="x",'ETAPA OBRA'!F$1&amp;", ","")&amp;
IF(INDEX('ETAPA OBRA'!G:G,MATCH($B10,'ETAPA OBRA'!$B:$B,0))="x",'ETAPA OBRA'!G$1&amp;", ","")&amp;
IF(INDEX('ETAPA OBRA'!H:H,MATCH($B10,'ETAPA OBRA'!$B:$B,0))="x",'ETAPA OBRA'!H$1&amp;", ","")&amp;
IF(INDEX('ETAPA OBRA'!I:I,MATCH($B10,'ETAPA OBRA'!$B:$B,0))="x",'ETAPA OBRA'!I$1&amp;", ","")&amp;
IF(INDEX('ETAPA OBRA'!J:J,MATCH($B10,'ETAPA OBRA'!$B:$B,0))="x",'ETAPA OBRA'!J$1&amp;", ","")&amp;
IF(INDEX('ETAPA OBRA'!K:K,MATCH($B10,'ETAPA OBRA'!$B:$B,0))="x",'ETAPA OBRA'!K$1&amp;", ","")&amp;
IF(INDEX('ETAPA OBRA'!L:L,MATCH($B10,'ETAPA OBRA'!$B:$B,0))="x",'ETAPA OBRA'!L$1&amp;", ","")&amp;
IF(INDEX('ETAPA OBRA'!M:M,MATCH($B10,'ETAPA OBRA'!$B:$B,0))="x",'ETAPA OBRA'!M$1&amp;", ","")&amp;
IF(INDEX('ETAPA OBRA'!N:N,MATCH($B10,'ETAPA OBRA'!$B:$B,0))="x",'ETAPA OBRA'!N$1&amp;", ","")&amp;
IF(INDEX('ETAPA OBRA'!O:O,MATCH($B10,'ETAPA OBRA'!$B:$B,0))="x",'ETAPA OBRA'!O$1&amp;", ","")&amp;
IF(INDEX('ETAPA OBRA'!P:P,MATCH($B10,'ETAPA OBRA'!$B:$B,0))="x",'ETAPA OBRA'!P$1&amp;", ","")&amp;
IF(INDEX('ETAPA OBRA'!Q:Q,MATCH($B10,'ETAPA OBRA'!$B:$B,0))="x",'ETAPA OBRA'!Q$1&amp;", ","")&amp;
IF(INDEX('ETAPA OBRA'!R:R,MATCH($B10,'ETAPA OBRA'!$B:$B,0))="x",'ETAPA OBRA'!R$1&amp;", ","")&amp;
IF(INDEX('ETAPA OBRA'!S:S,MATCH($B10,'ETAPA OBRA'!$B:$B,0))="x",'ETAPA OBRA'!S$1&amp;", ","")&amp;
IF(INDEX('ETAPA OBRA'!T:T,MATCH($B10,'ETAPA OBRA'!$B:$B,0))="x",'ETAPA OBRA'!T$1&amp;", ","")&amp;
IF(INDEX('ETAPA OBRA'!U:U,MATCH($B10,'ETAPA OBRA'!$B:$B,0))="x",'ETAPA OBRA'!U$1&amp;", ","")
)-2),"")</f>
        <v xml:space="preserve">Laudo de verticalidade, Envio RFI </v>
      </c>
      <c r="N10" s="23" t="str">
        <f t="shared" ca="1" si="0"/>
        <v>Em andamento</v>
      </c>
      <c r="O10" s="28">
        <v>89264</v>
      </c>
      <c r="P10" s="37">
        <f t="shared" si="1"/>
        <v>47963.08</v>
      </c>
      <c r="Q10" s="28">
        <f t="shared" si="2"/>
        <v>41300.92</v>
      </c>
      <c r="R10" s="29">
        <f t="shared" si="3"/>
        <v>0.46268282846388242</v>
      </c>
      <c r="S10" s="23" t="str">
        <f t="shared" si="4"/>
        <v>✅ OK - Fechar Parceiro</v>
      </c>
      <c r="T10" s="23" t="str">
        <f ca="1">Cronograma[[#This Row],[STATUS]]</f>
        <v>⏰ ATRASADO</v>
      </c>
    </row>
    <row r="11" spans="1:20" ht="14.4" x14ac:dyDescent="0.3">
      <c r="A11" s="23">
        <v>88050062</v>
      </c>
      <c r="B11" s="23" t="str">
        <f>IF(A11&lt;&gt;"","contel-"&amp;TEXT(COUNTA($A$2:A11),"00"),"")</f>
        <v>contel-10</v>
      </c>
      <c r="C11" s="23" t="s">
        <v>35</v>
      </c>
      <c r="D11" s="23" t="s">
        <v>48</v>
      </c>
      <c r="E11" s="23" t="s">
        <v>49</v>
      </c>
      <c r="F11" s="52" t="s">
        <v>50</v>
      </c>
      <c r="G11" s="23">
        <v>1683</v>
      </c>
      <c r="H11" s="24">
        <v>12768</v>
      </c>
      <c r="I11" s="23" t="s">
        <v>25</v>
      </c>
      <c r="J11" s="25">
        <f>SUM(EQUIPE!C11,EQUIPE!E11,EQUIPE!G11,EQUIPE!I11,EQUIPE!K11,EQUIPE!M11,EQUIPE!O11)</f>
        <v>24500</v>
      </c>
      <c r="K11" s="25">
        <v>18952.57</v>
      </c>
      <c r="L11" s="25">
        <v>0</v>
      </c>
      <c r="M11" s="27" t="str">
        <f>IFERROR(LEFT(
IF(INDEX('ETAPA OBRA'!C:C,MATCH($B11,'ETAPA OBRA'!$B:$B,0))="x",'ETAPA OBRA'!C$1&amp;", ","")&amp;
IF(INDEX('ETAPA OBRA'!D:D,MATCH($B11,'ETAPA OBRA'!$B:$B,0))="x",'ETAPA OBRA'!D$1&amp;", ","")&amp;
IF(INDEX('ETAPA OBRA'!F:F,MATCH($B11,'ETAPA OBRA'!$B:$B,0))="x",'ETAPA OBRA'!F$1&amp;", ","")&amp;
IF(INDEX('ETAPA OBRA'!G:G,MATCH($B11,'ETAPA OBRA'!$B:$B,0))="x",'ETAPA OBRA'!G$1&amp;", ","")&amp;
IF(INDEX('ETAPA OBRA'!H:H,MATCH($B11,'ETAPA OBRA'!$B:$B,0))="x",'ETAPA OBRA'!H$1&amp;", ","")&amp;
IF(INDEX('ETAPA OBRA'!I:I,MATCH($B11,'ETAPA OBRA'!$B:$B,0))="x",'ETAPA OBRA'!I$1&amp;", ","")&amp;
IF(INDEX('ETAPA OBRA'!J:J,MATCH($B11,'ETAPA OBRA'!$B:$B,0))="x",'ETAPA OBRA'!J$1&amp;", ","")&amp;
IF(INDEX('ETAPA OBRA'!K:K,MATCH($B11,'ETAPA OBRA'!$B:$B,0))="x",'ETAPA OBRA'!K$1&amp;", ","")&amp;
IF(INDEX('ETAPA OBRA'!L:L,MATCH($B11,'ETAPA OBRA'!$B:$B,0))="x",'ETAPA OBRA'!L$1&amp;", ","")&amp;
IF(INDEX('ETAPA OBRA'!M:M,MATCH($B11,'ETAPA OBRA'!$B:$B,0))="x",'ETAPA OBRA'!M$1&amp;", ","")&amp;
IF(INDEX('ETAPA OBRA'!N:N,MATCH($B11,'ETAPA OBRA'!$B:$B,0))="x",'ETAPA OBRA'!N$1&amp;", ","")&amp;
IF(INDEX('ETAPA OBRA'!O:O,MATCH($B11,'ETAPA OBRA'!$B:$B,0))="x",'ETAPA OBRA'!O$1&amp;", ","")&amp;
IF(INDEX('ETAPA OBRA'!P:P,MATCH($B11,'ETAPA OBRA'!$B:$B,0))="x",'ETAPA OBRA'!P$1&amp;", ","")&amp;
IF(INDEX('ETAPA OBRA'!Q:Q,MATCH($B11,'ETAPA OBRA'!$B:$B,0))="x",'ETAPA OBRA'!Q$1&amp;", ","")&amp;
IF(INDEX('ETAPA OBRA'!R:R,MATCH($B11,'ETAPA OBRA'!$B:$B,0))="x",'ETAPA OBRA'!R$1&amp;", ","")&amp;
IF(INDEX('ETAPA OBRA'!S:S,MATCH($B11,'ETAPA OBRA'!$B:$B,0))="x",'ETAPA OBRA'!S$1&amp;", ","")&amp;
IF(INDEX('ETAPA OBRA'!T:T,MATCH($B11,'ETAPA OBRA'!$B:$B,0))="x",'ETAPA OBRA'!T$1&amp;", ","")&amp;
IF(INDEX('ETAPA OBRA'!U:U,MATCH($B11,'ETAPA OBRA'!$B:$B,0))="x",'ETAPA OBRA'!U$1&amp;", ",""),LEN(
IF(INDEX('ETAPA OBRA'!C:C,MATCH($B11,'ETAPA OBRA'!$B:$B,0))="x",'ETAPA OBRA'!C$1&amp;", ","")&amp;
IF(INDEX('ETAPA OBRA'!D:D,MATCH($B11,'ETAPA OBRA'!$B:$B,0))="x",'ETAPA OBRA'!D$1&amp;", ","")&amp;
IF(INDEX('ETAPA OBRA'!F:F,MATCH($B11,'ETAPA OBRA'!$B:$B,0))="x",'ETAPA OBRA'!F$1&amp;", ","")&amp;
IF(INDEX('ETAPA OBRA'!G:G,MATCH($B11,'ETAPA OBRA'!$B:$B,0))="x",'ETAPA OBRA'!G$1&amp;", ","")&amp;
IF(INDEX('ETAPA OBRA'!H:H,MATCH($B11,'ETAPA OBRA'!$B:$B,0))="x",'ETAPA OBRA'!H$1&amp;", ","")&amp;
IF(INDEX('ETAPA OBRA'!I:I,MATCH($B11,'ETAPA OBRA'!$B:$B,0))="x",'ETAPA OBRA'!I$1&amp;", ","")&amp;
IF(INDEX('ETAPA OBRA'!J:J,MATCH($B11,'ETAPA OBRA'!$B:$B,0))="x",'ETAPA OBRA'!J$1&amp;", ","")&amp;
IF(INDEX('ETAPA OBRA'!K:K,MATCH($B11,'ETAPA OBRA'!$B:$B,0))="x",'ETAPA OBRA'!K$1&amp;", ","")&amp;
IF(INDEX('ETAPA OBRA'!L:L,MATCH($B11,'ETAPA OBRA'!$B:$B,0))="x",'ETAPA OBRA'!L$1&amp;", ","")&amp;
IF(INDEX('ETAPA OBRA'!M:M,MATCH($B11,'ETAPA OBRA'!$B:$B,0))="x",'ETAPA OBRA'!M$1&amp;", ","")&amp;
IF(INDEX('ETAPA OBRA'!N:N,MATCH($B11,'ETAPA OBRA'!$B:$B,0))="x",'ETAPA OBRA'!N$1&amp;", ","")&amp;
IF(INDEX('ETAPA OBRA'!O:O,MATCH($B11,'ETAPA OBRA'!$B:$B,0))="x",'ETAPA OBRA'!O$1&amp;", ","")&amp;
IF(INDEX('ETAPA OBRA'!P:P,MATCH($B11,'ETAPA OBRA'!$B:$B,0))="x",'ETAPA OBRA'!P$1&amp;", ","")&amp;
IF(INDEX('ETAPA OBRA'!Q:Q,MATCH($B11,'ETAPA OBRA'!$B:$B,0))="x",'ETAPA OBRA'!Q$1&amp;", ","")&amp;
IF(INDEX('ETAPA OBRA'!R:R,MATCH($B11,'ETAPA OBRA'!$B:$B,0))="x",'ETAPA OBRA'!R$1&amp;", ","")&amp;
IF(INDEX('ETAPA OBRA'!S:S,MATCH($B11,'ETAPA OBRA'!$B:$B,0))="x",'ETAPA OBRA'!S$1&amp;", ","")&amp;
IF(INDEX('ETAPA OBRA'!T:T,MATCH($B11,'ETAPA OBRA'!$B:$B,0))="x",'ETAPA OBRA'!T$1&amp;", ","")&amp;
IF(INDEX('ETAPA OBRA'!U:U,MATCH($B11,'ETAPA OBRA'!$B:$B,0))="x",'ETAPA OBRA'!U$1&amp;", ","")
)-2),"")</f>
        <v>Finalizado</v>
      </c>
      <c r="N11" s="23" t="str">
        <f t="shared" si="0"/>
        <v>Finalizado</v>
      </c>
      <c r="O11" s="28">
        <v>89264</v>
      </c>
      <c r="P11" s="37">
        <f t="shared" si="1"/>
        <v>43452.57</v>
      </c>
      <c r="Q11" s="28">
        <f t="shared" si="2"/>
        <v>45811.43</v>
      </c>
      <c r="R11" s="29">
        <f t="shared" si="3"/>
        <v>0.51321282936010038</v>
      </c>
      <c r="S11" s="23" t="str">
        <f t="shared" si="4"/>
        <v>✅ OK - Fechar Parceiro</v>
      </c>
      <c r="T11" s="23" t="str">
        <f>Cronograma[[#This Row],[STATUS]]</f>
        <v>✅ CONCLUÍDO</v>
      </c>
    </row>
    <row r="12" spans="1:20" ht="14.4" x14ac:dyDescent="0.3">
      <c r="A12" s="23">
        <v>88050069</v>
      </c>
      <c r="B12" s="23" t="str">
        <f>IF(A12&lt;&gt;"","contel-"&amp;TEXT(COUNTA($A$2:A12),"00"),"")</f>
        <v>contel-11</v>
      </c>
      <c r="C12" s="23" t="s">
        <v>35</v>
      </c>
      <c r="D12" s="23" t="s">
        <v>51</v>
      </c>
      <c r="E12" s="23" t="s">
        <v>49</v>
      </c>
      <c r="F12" s="52" t="s">
        <v>52</v>
      </c>
      <c r="G12" s="23">
        <v>1684</v>
      </c>
      <c r="H12" s="24">
        <v>12769</v>
      </c>
      <c r="I12" s="23" t="s">
        <v>25</v>
      </c>
      <c r="J12" s="25">
        <f>SUM(EQUIPE!C12,EQUIPE!E12,EQUIPE!G12,EQUIPE!I12,EQUIPE!K12,EQUIPE!M12,EQUIPE!O12)</f>
        <v>0</v>
      </c>
      <c r="K12" s="25">
        <v>13872.51</v>
      </c>
      <c r="L12" s="25">
        <v>0</v>
      </c>
      <c r="M12" s="27" t="str">
        <f>IFERROR(LEFT(
IF(INDEX('ETAPA OBRA'!C:C,MATCH($B12,'ETAPA OBRA'!$B:$B,0))="x",'ETAPA OBRA'!C$1&amp;", ","")&amp;
IF(INDEX('ETAPA OBRA'!D:D,MATCH($B12,'ETAPA OBRA'!$B:$B,0))="x",'ETAPA OBRA'!D$1&amp;", ","")&amp;
IF(INDEX('ETAPA OBRA'!F:F,MATCH($B12,'ETAPA OBRA'!$B:$B,0))="x",'ETAPA OBRA'!F$1&amp;", ","")&amp;
IF(INDEX('ETAPA OBRA'!G:G,MATCH($B12,'ETAPA OBRA'!$B:$B,0))="x",'ETAPA OBRA'!G$1&amp;", ","")&amp;
IF(INDEX('ETAPA OBRA'!H:H,MATCH($B12,'ETAPA OBRA'!$B:$B,0))="x",'ETAPA OBRA'!H$1&amp;", ","")&amp;
IF(INDEX('ETAPA OBRA'!I:I,MATCH($B12,'ETAPA OBRA'!$B:$B,0))="x",'ETAPA OBRA'!I$1&amp;", ","")&amp;
IF(INDEX('ETAPA OBRA'!J:J,MATCH($B12,'ETAPA OBRA'!$B:$B,0))="x",'ETAPA OBRA'!J$1&amp;", ","")&amp;
IF(INDEX('ETAPA OBRA'!K:K,MATCH($B12,'ETAPA OBRA'!$B:$B,0))="x",'ETAPA OBRA'!K$1&amp;", ","")&amp;
IF(INDEX('ETAPA OBRA'!L:L,MATCH($B12,'ETAPA OBRA'!$B:$B,0))="x",'ETAPA OBRA'!L$1&amp;", ","")&amp;
IF(INDEX('ETAPA OBRA'!M:M,MATCH($B12,'ETAPA OBRA'!$B:$B,0))="x",'ETAPA OBRA'!M$1&amp;", ","")&amp;
IF(INDEX('ETAPA OBRA'!N:N,MATCH($B12,'ETAPA OBRA'!$B:$B,0))="x",'ETAPA OBRA'!N$1&amp;", ","")&amp;
IF(INDEX('ETAPA OBRA'!O:O,MATCH($B12,'ETAPA OBRA'!$B:$B,0))="x",'ETAPA OBRA'!O$1&amp;", ","")&amp;
IF(INDEX('ETAPA OBRA'!P:P,MATCH($B12,'ETAPA OBRA'!$B:$B,0))="x",'ETAPA OBRA'!P$1&amp;", ","")&amp;
IF(INDEX('ETAPA OBRA'!Q:Q,MATCH($B12,'ETAPA OBRA'!$B:$B,0))="x",'ETAPA OBRA'!Q$1&amp;", ","")&amp;
IF(INDEX('ETAPA OBRA'!R:R,MATCH($B12,'ETAPA OBRA'!$B:$B,0))="x",'ETAPA OBRA'!R$1&amp;", ","")&amp;
IF(INDEX('ETAPA OBRA'!S:S,MATCH($B12,'ETAPA OBRA'!$B:$B,0))="x",'ETAPA OBRA'!S$1&amp;", ","")&amp;
IF(INDEX('ETAPA OBRA'!T:T,MATCH($B12,'ETAPA OBRA'!$B:$B,0))="x",'ETAPA OBRA'!T$1&amp;", ","")&amp;
IF(INDEX('ETAPA OBRA'!U:U,MATCH($B12,'ETAPA OBRA'!$B:$B,0))="x",'ETAPA OBRA'!U$1&amp;", ",""),LEN(
IF(INDEX('ETAPA OBRA'!C:C,MATCH($B12,'ETAPA OBRA'!$B:$B,0))="x",'ETAPA OBRA'!C$1&amp;", ","")&amp;
IF(INDEX('ETAPA OBRA'!D:D,MATCH($B12,'ETAPA OBRA'!$B:$B,0))="x",'ETAPA OBRA'!D$1&amp;", ","")&amp;
IF(INDEX('ETAPA OBRA'!F:F,MATCH($B12,'ETAPA OBRA'!$B:$B,0))="x",'ETAPA OBRA'!F$1&amp;", ","")&amp;
IF(INDEX('ETAPA OBRA'!G:G,MATCH($B12,'ETAPA OBRA'!$B:$B,0))="x",'ETAPA OBRA'!G$1&amp;", ","")&amp;
IF(INDEX('ETAPA OBRA'!H:H,MATCH($B12,'ETAPA OBRA'!$B:$B,0))="x",'ETAPA OBRA'!H$1&amp;", ","")&amp;
IF(INDEX('ETAPA OBRA'!I:I,MATCH($B12,'ETAPA OBRA'!$B:$B,0))="x",'ETAPA OBRA'!I$1&amp;", ","")&amp;
IF(INDEX('ETAPA OBRA'!J:J,MATCH($B12,'ETAPA OBRA'!$B:$B,0))="x",'ETAPA OBRA'!J$1&amp;", ","")&amp;
IF(INDEX('ETAPA OBRA'!K:K,MATCH($B12,'ETAPA OBRA'!$B:$B,0))="x",'ETAPA OBRA'!K$1&amp;", ","")&amp;
IF(INDEX('ETAPA OBRA'!L:L,MATCH($B12,'ETAPA OBRA'!$B:$B,0))="x",'ETAPA OBRA'!L$1&amp;", ","")&amp;
IF(INDEX('ETAPA OBRA'!M:M,MATCH($B12,'ETAPA OBRA'!$B:$B,0))="x",'ETAPA OBRA'!M$1&amp;", ","")&amp;
IF(INDEX('ETAPA OBRA'!N:N,MATCH($B12,'ETAPA OBRA'!$B:$B,0))="x",'ETAPA OBRA'!N$1&amp;", ","")&amp;
IF(INDEX('ETAPA OBRA'!O:O,MATCH($B12,'ETAPA OBRA'!$B:$B,0))="x",'ETAPA OBRA'!O$1&amp;", ","")&amp;
IF(INDEX('ETAPA OBRA'!P:P,MATCH($B12,'ETAPA OBRA'!$B:$B,0))="x",'ETAPA OBRA'!P$1&amp;", ","")&amp;
IF(INDEX('ETAPA OBRA'!Q:Q,MATCH($B12,'ETAPA OBRA'!$B:$B,0))="x",'ETAPA OBRA'!Q$1&amp;", ","")&amp;
IF(INDEX('ETAPA OBRA'!R:R,MATCH($B12,'ETAPA OBRA'!$B:$B,0))="x",'ETAPA OBRA'!R$1&amp;", ","")&amp;
IF(INDEX('ETAPA OBRA'!S:S,MATCH($B12,'ETAPA OBRA'!$B:$B,0))="x",'ETAPA OBRA'!S$1&amp;", ","")&amp;
IF(INDEX('ETAPA OBRA'!T:T,MATCH($B12,'ETAPA OBRA'!$B:$B,0))="x",'ETAPA OBRA'!T$1&amp;", ","")&amp;
IF(INDEX('ETAPA OBRA'!U:U,MATCH($B12,'ETAPA OBRA'!$B:$B,0))="x",'ETAPA OBRA'!U$1&amp;", ","")
)-2),"")</f>
        <v>Finalizado</v>
      </c>
      <c r="N12" s="23" t="str">
        <f t="shared" si="0"/>
        <v>Finalizado</v>
      </c>
      <c r="O12" s="28">
        <v>89264</v>
      </c>
      <c r="P12" s="37">
        <f t="shared" si="1"/>
        <v>13872.51</v>
      </c>
      <c r="Q12" s="28">
        <f t="shared" si="2"/>
        <v>75391.490000000005</v>
      </c>
      <c r="R12" s="29">
        <f t="shared" si="3"/>
        <v>0.84459009231045001</v>
      </c>
      <c r="S12" s="23" t="str">
        <f t="shared" si="4"/>
        <v>✅ OK - Fechar Parceiro</v>
      </c>
      <c r="T12" s="23" t="str">
        <f>Cronograma[[#This Row],[STATUS]]</f>
        <v>✅ CONCLUÍDO</v>
      </c>
    </row>
    <row r="13" spans="1:20" ht="14.4" x14ac:dyDescent="0.3">
      <c r="A13" s="23">
        <v>83010085</v>
      </c>
      <c r="B13" s="23" t="str">
        <f>IF(A13&lt;&gt;"","contel-"&amp;TEXT(COUNTA($A$2:A13),"00"),"")</f>
        <v>contel-12</v>
      </c>
      <c r="C13" s="23" t="s">
        <v>35</v>
      </c>
      <c r="D13" s="23" t="s">
        <v>53</v>
      </c>
      <c r="E13" s="23" t="s">
        <v>54</v>
      </c>
      <c r="F13" s="52" t="s">
        <v>55</v>
      </c>
      <c r="G13" s="23">
        <v>1685</v>
      </c>
      <c r="H13" s="24">
        <v>12770</v>
      </c>
      <c r="I13" s="23" t="s">
        <v>25</v>
      </c>
      <c r="J13" s="25">
        <f>SUM(EQUIPE!C13,EQUIPE!E13,EQUIPE!G13,EQUIPE!I13,EQUIPE!K13,EQUIPE!M13,EQUIPE!O13)</f>
        <v>0</v>
      </c>
      <c r="K13" s="25">
        <v>25453.15</v>
      </c>
      <c r="L13" s="25">
        <v>0</v>
      </c>
      <c r="M13" s="27" t="str">
        <f ca="1">IFERROR(LEFT(
IF(INDEX('ETAPA OBRA'!C:C,MATCH($B13,'ETAPA OBRA'!$B:$B,0))="x",'ETAPA OBRA'!C$1&amp;", ","")&amp;
IF(INDEX('ETAPA OBRA'!D:D,MATCH($B13,'ETAPA OBRA'!$B:$B,0))="x",'ETAPA OBRA'!D$1&amp;", ","")&amp;
IF(INDEX('ETAPA OBRA'!F:F,MATCH($B13,'ETAPA OBRA'!$B:$B,0))="x",'ETAPA OBRA'!F$1&amp;", ","")&amp;
IF(INDEX('ETAPA OBRA'!G:G,MATCH($B13,'ETAPA OBRA'!$B:$B,0))="x",'ETAPA OBRA'!G$1&amp;", ","")&amp;
IF(INDEX('ETAPA OBRA'!H:H,MATCH($B13,'ETAPA OBRA'!$B:$B,0))="x",'ETAPA OBRA'!H$1&amp;", ","")&amp;
IF(INDEX('ETAPA OBRA'!I:I,MATCH($B13,'ETAPA OBRA'!$B:$B,0))="x",'ETAPA OBRA'!I$1&amp;", ","")&amp;
IF(INDEX('ETAPA OBRA'!J:J,MATCH($B13,'ETAPA OBRA'!$B:$B,0))="x",'ETAPA OBRA'!J$1&amp;", ","")&amp;
IF(INDEX('ETAPA OBRA'!K:K,MATCH($B13,'ETAPA OBRA'!$B:$B,0))="x",'ETAPA OBRA'!K$1&amp;", ","")&amp;
IF(INDEX('ETAPA OBRA'!L:L,MATCH($B13,'ETAPA OBRA'!$B:$B,0))="x",'ETAPA OBRA'!L$1&amp;", ","")&amp;
IF(INDEX('ETAPA OBRA'!M:M,MATCH($B13,'ETAPA OBRA'!$B:$B,0))="x",'ETAPA OBRA'!M$1&amp;", ","")&amp;
IF(INDEX('ETAPA OBRA'!N:N,MATCH($B13,'ETAPA OBRA'!$B:$B,0))="x",'ETAPA OBRA'!N$1&amp;", ","")&amp;
IF(INDEX('ETAPA OBRA'!O:O,MATCH($B13,'ETAPA OBRA'!$B:$B,0))="x",'ETAPA OBRA'!O$1&amp;", ","")&amp;
IF(INDEX('ETAPA OBRA'!P:P,MATCH($B13,'ETAPA OBRA'!$B:$B,0))="x",'ETAPA OBRA'!P$1&amp;", ","")&amp;
IF(INDEX('ETAPA OBRA'!Q:Q,MATCH($B13,'ETAPA OBRA'!$B:$B,0))="x",'ETAPA OBRA'!Q$1&amp;", ","")&amp;
IF(INDEX('ETAPA OBRA'!R:R,MATCH($B13,'ETAPA OBRA'!$B:$B,0))="x",'ETAPA OBRA'!R$1&amp;", ","")&amp;
IF(INDEX('ETAPA OBRA'!S:S,MATCH($B13,'ETAPA OBRA'!$B:$B,0))="x",'ETAPA OBRA'!S$1&amp;", ","")&amp;
IF(INDEX('ETAPA OBRA'!T:T,MATCH($B13,'ETAPA OBRA'!$B:$B,0))="x",'ETAPA OBRA'!T$1&amp;", ","")&amp;
IF(INDEX('ETAPA OBRA'!U:U,MATCH($B13,'ETAPA OBRA'!$B:$B,0))="x",'ETAPA OBRA'!U$1&amp;", ",""),LEN(
IF(INDEX('ETAPA OBRA'!C:C,MATCH($B13,'ETAPA OBRA'!$B:$B,0))="x",'ETAPA OBRA'!C$1&amp;", ","")&amp;
IF(INDEX('ETAPA OBRA'!D:D,MATCH($B13,'ETAPA OBRA'!$B:$B,0))="x",'ETAPA OBRA'!D$1&amp;", ","")&amp;
IF(INDEX('ETAPA OBRA'!F:F,MATCH($B13,'ETAPA OBRA'!$B:$B,0))="x",'ETAPA OBRA'!F$1&amp;", ","")&amp;
IF(INDEX('ETAPA OBRA'!G:G,MATCH($B13,'ETAPA OBRA'!$B:$B,0))="x",'ETAPA OBRA'!G$1&amp;", ","")&amp;
IF(INDEX('ETAPA OBRA'!H:H,MATCH($B13,'ETAPA OBRA'!$B:$B,0))="x",'ETAPA OBRA'!H$1&amp;", ","")&amp;
IF(INDEX('ETAPA OBRA'!I:I,MATCH($B13,'ETAPA OBRA'!$B:$B,0))="x",'ETAPA OBRA'!I$1&amp;", ","")&amp;
IF(INDEX('ETAPA OBRA'!J:J,MATCH($B13,'ETAPA OBRA'!$B:$B,0))="x",'ETAPA OBRA'!J$1&amp;", ","")&amp;
IF(INDEX('ETAPA OBRA'!K:K,MATCH($B13,'ETAPA OBRA'!$B:$B,0))="x",'ETAPA OBRA'!K$1&amp;", ","")&amp;
IF(INDEX('ETAPA OBRA'!L:L,MATCH($B13,'ETAPA OBRA'!$B:$B,0))="x",'ETAPA OBRA'!L$1&amp;", ","")&amp;
IF(INDEX('ETAPA OBRA'!M:M,MATCH($B13,'ETAPA OBRA'!$B:$B,0))="x",'ETAPA OBRA'!M$1&amp;", ","")&amp;
IF(INDEX('ETAPA OBRA'!N:N,MATCH($B13,'ETAPA OBRA'!$B:$B,0))="x",'ETAPA OBRA'!N$1&amp;", ","")&amp;
IF(INDEX('ETAPA OBRA'!O:O,MATCH($B13,'ETAPA OBRA'!$B:$B,0))="x",'ETAPA OBRA'!O$1&amp;", ","")&amp;
IF(INDEX('ETAPA OBRA'!P:P,MATCH($B13,'ETAPA OBRA'!$B:$B,0))="x",'ETAPA OBRA'!P$1&amp;", ","")&amp;
IF(INDEX('ETAPA OBRA'!Q:Q,MATCH($B13,'ETAPA OBRA'!$B:$B,0))="x",'ETAPA OBRA'!Q$1&amp;", ","")&amp;
IF(INDEX('ETAPA OBRA'!R:R,MATCH($B13,'ETAPA OBRA'!$B:$B,0))="x",'ETAPA OBRA'!R$1&amp;", ","")&amp;
IF(INDEX('ETAPA OBRA'!S:S,MATCH($B13,'ETAPA OBRA'!$B:$B,0))="x",'ETAPA OBRA'!S$1&amp;", ","")&amp;
IF(INDEX('ETAPA OBRA'!T:T,MATCH($B13,'ETAPA OBRA'!$B:$B,0))="x",'ETAPA OBRA'!T$1&amp;", ","")&amp;
IF(INDEX('ETAPA OBRA'!U:U,MATCH($B13,'ETAPA OBRA'!$B:$B,0))="x",'ETAPA OBRA'!U$1&amp;", ","")
)-2),"")</f>
        <v>Fabricação / Galvanização</v>
      </c>
      <c r="N13" s="23" t="str">
        <f t="shared" ca="1" si="0"/>
        <v>Em andamento</v>
      </c>
      <c r="O13" s="28">
        <v>89264</v>
      </c>
      <c r="P13" s="37">
        <f t="shared" si="1"/>
        <v>25453.15</v>
      </c>
      <c r="Q13" s="28">
        <f t="shared" si="2"/>
        <v>63810.85</v>
      </c>
      <c r="R13" s="29">
        <f t="shared" si="3"/>
        <v>0.71485537282667144</v>
      </c>
      <c r="S13" s="23" t="str">
        <f t="shared" si="4"/>
        <v>✅ OK - Fechar Parceiro</v>
      </c>
      <c r="T13" s="23" t="str">
        <f ca="1">Cronograma[[#This Row],[STATUS]]</f>
        <v>⏰ ATRASADO</v>
      </c>
    </row>
    <row r="14" spans="1:20" ht="14.4" x14ac:dyDescent="0.3">
      <c r="A14" s="23">
        <v>89050013</v>
      </c>
      <c r="B14" s="23" t="str">
        <f>IF(A14&lt;&gt;"","contel-"&amp;TEXT(COUNTA($A$2:A14),"00"),"")</f>
        <v>contel-13</v>
      </c>
      <c r="C14" s="23" t="s">
        <v>35</v>
      </c>
      <c r="D14" s="23" t="s">
        <v>56</v>
      </c>
      <c r="E14" s="23" t="s">
        <v>57</v>
      </c>
      <c r="F14" s="52" t="s">
        <v>58</v>
      </c>
      <c r="G14" s="23">
        <v>1686</v>
      </c>
      <c r="H14" s="24">
        <v>12771</v>
      </c>
      <c r="I14" s="23" t="s">
        <v>25</v>
      </c>
      <c r="J14" s="25">
        <f>SUM(EQUIPE!C14,EQUIPE!E14,EQUIPE!G14,EQUIPE!I14,EQUIPE!K14,EQUIPE!M14,EQUIPE!O14)</f>
        <v>0</v>
      </c>
      <c r="K14" s="25">
        <v>20703.669999999998</v>
      </c>
      <c r="L14" s="25">
        <v>0</v>
      </c>
      <c r="M14" s="27" t="str">
        <f ca="1">IFERROR(LEFT(
IF(INDEX('ETAPA OBRA'!C:C,MATCH($B14,'ETAPA OBRA'!$B:$B,0))="x",'ETAPA OBRA'!C$1&amp;", ","")&amp;
IF(INDEX('ETAPA OBRA'!D:D,MATCH($B14,'ETAPA OBRA'!$B:$B,0))="x",'ETAPA OBRA'!D$1&amp;", ","")&amp;
IF(INDEX('ETAPA OBRA'!F:F,MATCH($B14,'ETAPA OBRA'!$B:$B,0))="x",'ETAPA OBRA'!F$1&amp;", ","")&amp;
IF(INDEX('ETAPA OBRA'!G:G,MATCH($B14,'ETAPA OBRA'!$B:$B,0))="x",'ETAPA OBRA'!G$1&amp;", ","")&amp;
IF(INDEX('ETAPA OBRA'!H:H,MATCH($B14,'ETAPA OBRA'!$B:$B,0))="x",'ETAPA OBRA'!H$1&amp;", ","")&amp;
IF(INDEX('ETAPA OBRA'!I:I,MATCH($B14,'ETAPA OBRA'!$B:$B,0))="x",'ETAPA OBRA'!I$1&amp;", ","")&amp;
IF(INDEX('ETAPA OBRA'!J:J,MATCH($B14,'ETAPA OBRA'!$B:$B,0))="x",'ETAPA OBRA'!J$1&amp;", ","")&amp;
IF(INDEX('ETAPA OBRA'!K:K,MATCH($B14,'ETAPA OBRA'!$B:$B,0))="x",'ETAPA OBRA'!K$1&amp;", ","")&amp;
IF(INDEX('ETAPA OBRA'!L:L,MATCH($B14,'ETAPA OBRA'!$B:$B,0))="x",'ETAPA OBRA'!L$1&amp;", ","")&amp;
IF(INDEX('ETAPA OBRA'!M:M,MATCH($B14,'ETAPA OBRA'!$B:$B,0))="x",'ETAPA OBRA'!M$1&amp;", ","")&amp;
IF(INDEX('ETAPA OBRA'!N:N,MATCH($B14,'ETAPA OBRA'!$B:$B,0))="x",'ETAPA OBRA'!N$1&amp;", ","")&amp;
IF(INDEX('ETAPA OBRA'!O:O,MATCH($B14,'ETAPA OBRA'!$B:$B,0))="x",'ETAPA OBRA'!O$1&amp;", ","")&amp;
IF(INDEX('ETAPA OBRA'!P:P,MATCH($B14,'ETAPA OBRA'!$B:$B,0))="x",'ETAPA OBRA'!P$1&amp;", ","")&amp;
IF(INDEX('ETAPA OBRA'!Q:Q,MATCH($B14,'ETAPA OBRA'!$B:$B,0))="x",'ETAPA OBRA'!Q$1&amp;", ","")&amp;
IF(INDEX('ETAPA OBRA'!R:R,MATCH($B14,'ETAPA OBRA'!$B:$B,0))="x",'ETAPA OBRA'!R$1&amp;", ","")&amp;
IF(INDEX('ETAPA OBRA'!S:S,MATCH($B14,'ETAPA OBRA'!$B:$B,0))="x",'ETAPA OBRA'!S$1&amp;", ","")&amp;
IF(INDEX('ETAPA OBRA'!T:T,MATCH($B14,'ETAPA OBRA'!$B:$B,0))="x",'ETAPA OBRA'!T$1&amp;", ","")&amp;
IF(INDEX('ETAPA OBRA'!U:U,MATCH($B14,'ETAPA OBRA'!$B:$B,0))="x",'ETAPA OBRA'!U$1&amp;", ",""),LEN(
IF(INDEX('ETAPA OBRA'!C:C,MATCH($B14,'ETAPA OBRA'!$B:$B,0))="x",'ETAPA OBRA'!C$1&amp;", ","")&amp;
IF(INDEX('ETAPA OBRA'!D:D,MATCH($B14,'ETAPA OBRA'!$B:$B,0))="x",'ETAPA OBRA'!D$1&amp;", ","")&amp;
IF(INDEX('ETAPA OBRA'!F:F,MATCH($B14,'ETAPA OBRA'!$B:$B,0))="x",'ETAPA OBRA'!F$1&amp;", ","")&amp;
IF(INDEX('ETAPA OBRA'!G:G,MATCH($B14,'ETAPA OBRA'!$B:$B,0))="x",'ETAPA OBRA'!G$1&amp;", ","")&amp;
IF(INDEX('ETAPA OBRA'!H:H,MATCH($B14,'ETAPA OBRA'!$B:$B,0))="x",'ETAPA OBRA'!H$1&amp;", ","")&amp;
IF(INDEX('ETAPA OBRA'!I:I,MATCH($B14,'ETAPA OBRA'!$B:$B,0))="x",'ETAPA OBRA'!I$1&amp;", ","")&amp;
IF(INDEX('ETAPA OBRA'!J:J,MATCH($B14,'ETAPA OBRA'!$B:$B,0))="x",'ETAPA OBRA'!J$1&amp;", ","")&amp;
IF(INDEX('ETAPA OBRA'!K:K,MATCH($B14,'ETAPA OBRA'!$B:$B,0))="x",'ETAPA OBRA'!K$1&amp;", ","")&amp;
IF(INDEX('ETAPA OBRA'!L:L,MATCH($B14,'ETAPA OBRA'!$B:$B,0))="x",'ETAPA OBRA'!L$1&amp;", ","")&amp;
IF(INDEX('ETAPA OBRA'!M:M,MATCH($B14,'ETAPA OBRA'!$B:$B,0))="x",'ETAPA OBRA'!M$1&amp;", ","")&amp;
IF(INDEX('ETAPA OBRA'!N:N,MATCH($B14,'ETAPA OBRA'!$B:$B,0))="x",'ETAPA OBRA'!N$1&amp;", ","")&amp;
IF(INDEX('ETAPA OBRA'!O:O,MATCH($B14,'ETAPA OBRA'!$B:$B,0))="x",'ETAPA OBRA'!O$1&amp;", ","")&amp;
IF(INDEX('ETAPA OBRA'!P:P,MATCH($B14,'ETAPA OBRA'!$B:$B,0))="x",'ETAPA OBRA'!P$1&amp;", ","")&amp;
IF(INDEX('ETAPA OBRA'!Q:Q,MATCH($B14,'ETAPA OBRA'!$B:$B,0))="x",'ETAPA OBRA'!Q$1&amp;", ","")&amp;
IF(INDEX('ETAPA OBRA'!R:R,MATCH($B14,'ETAPA OBRA'!$B:$B,0))="x",'ETAPA OBRA'!R$1&amp;", ","")&amp;
IF(INDEX('ETAPA OBRA'!S:S,MATCH($B14,'ETAPA OBRA'!$B:$B,0))="x",'ETAPA OBRA'!S$1&amp;", ","")&amp;
IF(INDEX('ETAPA OBRA'!T:T,MATCH($B14,'ETAPA OBRA'!$B:$B,0))="x",'ETAPA OBRA'!T$1&amp;", ","")&amp;
IF(INDEX('ETAPA OBRA'!U:U,MATCH($B14,'ETAPA OBRA'!$B:$B,0))="x",'ETAPA OBRA'!U$1&amp;", ","")
)-2),"")</f>
        <v>Fabricação / Galvanização</v>
      </c>
      <c r="N14" s="23" t="str">
        <f t="shared" ca="1" si="0"/>
        <v>Em andamento</v>
      </c>
      <c r="O14" s="28">
        <v>89264</v>
      </c>
      <c r="P14" s="37">
        <f t="shared" si="1"/>
        <v>20703.669999999998</v>
      </c>
      <c r="Q14" s="28">
        <f t="shared" si="2"/>
        <v>68560.33</v>
      </c>
      <c r="R14" s="29">
        <f t="shared" si="3"/>
        <v>0.76806248879727557</v>
      </c>
      <c r="S14" s="23" t="str">
        <f t="shared" si="4"/>
        <v>✅ OK - Fechar Parceiro</v>
      </c>
      <c r="T14" s="23" t="str">
        <f ca="1">Cronograma[[#This Row],[STATUS]]</f>
        <v>🕓 EM ANDAMENTO</v>
      </c>
    </row>
    <row r="15" spans="1:20" ht="14.4" x14ac:dyDescent="0.3">
      <c r="A15" s="23" t="s">
        <v>59</v>
      </c>
      <c r="B15" s="23" t="str">
        <f>IF(A15&lt;&gt;"","contel-"&amp;TEXT(COUNTA($A$2:A15),"00"),"")</f>
        <v>contel-14</v>
      </c>
      <c r="C15" s="23" t="s">
        <v>21</v>
      </c>
      <c r="D15" s="23" t="s">
        <v>60</v>
      </c>
      <c r="E15" s="23" t="s">
        <v>61</v>
      </c>
      <c r="F15" s="52" t="s">
        <v>62</v>
      </c>
      <c r="G15" s="23">
        <v>1688</v>
      </c>
      <c r="H15" s="24">
        <v>12707</v>
      </c>
      <c r="I15" s="23" t="s">
        <v>63</v>
      </c>
      <c r="J15" s="25">
        <f>SUM(EQUIPE!C15,EQUIPE!E15,EQUIPE!G15,EQUIPE!I15,EQUIPE!K15,EQUIPE!M15,EQUIPE!O15)</f>
        <v>7800</v>
      </c>
      <c r="K15" s="25">
        <v>0</v>
      </c>
      <c r="L15" s="25">
        <v>4071.47</v>
      </c>
      <c r="M15" s="27" t="str">
        <f>IFERROR(LEFT(
IF(INDEX('ETAPA OBRA'!C:C,MATCH($B15,'ETAPA OBRA'!$B:$B,0))="x",'ETAPA OBRA'!C$1&amp;", ","")&amp;
IF(INDEX('ETAPA OBRA'!D:D,MATCH($B15,'ETAPA OBRA'!$B:$B,0))="x",'ETAPA OBRA'!D$1&amp;", ","")&amp;
IF(INDEX('ETAPA OBRA'!F:F,MATCH($B15,'ETAPA OBRA'!$B:$B,0))="x",'ETAPA OBRA'!F$1&amp;", ","")&amp;
IF(INDEX('ETAPA OBRA'!G:G,MATCH($B15,'ETAPA OBRA'!$B:$B,0))="x",'ETAPA OBRA'!G$1&amp;", ","")&amp;
IF(INDEX('ETAPA OBRA'!H:H,MATCH($B15,'ETAPA OBRA'!$B:$B,0))="x",'ETAPA OBRA'!H$1&amp;", ","")&amp;
IF(INDEX('ETAPA OBRA'!I:I,MATCH($B15,'ETAPA OBRA'!$B:$B,0))="x",'ETAPA OBRA'!I$1&amp;", ","")&amp;
IF(INDEX('ETAPA OBRA'!J:J,MATCH($B15,'ETAPA OBRA'!$B:$B,0))="x",'ETAPA OBRA'!J$1&amp;", ","")&amp;
IF(INDEX('ETAPA OBRA'!K:K,MATCH($B15,'ETAPA OBRA'!$B:$B,0))="x",'ETAPA OBRA'!K$1&amp;", ","")&amp;
IF(INDEX('ETAPA OBRA'!L:L,MATCH($B15,'ETAPA OBRA'!$B:$B,0))="x",'ETAPA OBRA'!L$1&amp;", ","")&amp;
IF(INDEX('ETAPA OBRA'!M:M,MATCH($B15,'ETAPA OBRA'!$B:$B,0))="x",'ETAPA OBRA'!M$1&amp;", ","")&amp;
IF(INDEX('ETAPA OBRA'!N:N,MATCH($B15,'ETAPA OBRA'!$B:$B,0))="x",'ETAPA OBRA'!N$1&amp;", ","")&amp;
IF(INDEX('ETAPA OBRA'!O:O,MATCH($B15,'ETAPA OBRA'!$B:$B,0))="x",'ETAPA OBRA'!O$1&amp;", ","")&amp;
IF(INDEX('ETAPA OBRA'!P:P,MATCH($B15,'ETAPA OBRA'!$B:$B,0))="x",'ETAPA OBRA'!P$1&amp;", ","")&amp;
IF(INDEX('ETAPA OBRA'!Q:Q,MATCH($B15,'ETAPA OBRA'!$B:$B,0))="x",'ETAPA OBRA'!Q$1&amp;", ","")&amp;
IF(INDEX('ETAPA OBRA'!R:R,MATCH($B15,'ETAPA OBRA'!$B:$B,0))="x",'ETAPA OBRA'!R$1&amp;", ","")&amp;
IF(INDEX('ETAPA OBRA'!S:S,MATCH($B15,'ETAPA OBRA'!$B:$B,0))="x",'ETAPA OBRA'!S$1&amp;", ","")&amp;
IF(INDEX('ETAPA OBRA'!T:T,MATCH($B15,'ETAPA OBRA'!$B:$B,0))="x",'ETAPA OBRA'!T$1&amp;", ","")&amp;
IF(INDEX('ETAPA OBRA'!U:U,MATCH($B15,'ETAPA OBRA'!$B:$B,0))="x",'ETAPA OBRA'!U$1&amp;", ",""),LEN(
IF(INDEX('ETAPA OBRA'!C:C,MATCH($B15,'ETAPA OBRA'!$B:$B,0))="x",'ETAPA OBRA'!C$1&amp;", ","")&amp;
IF(INDEX('ETAPA OBRA'!D:D,MATCH($B15,'ETAPA OBRA'!$B:$B,0))="x",'ETAPA OBRA'!D$1&amp;", ","")&amp;
IF(INDEX('ETAPA OBRA'!F:F,MATCH($B15,'ETAPA OBRA'!$B:$B,0))="x",'ETAPA OBRA'!F$1&amp;", ","")&amp;
IF(INDEX('ETAPA OBRA'!G:G,MATCH($B15,'ETAPA OBRA'!$B:$B,0))="x",'ETAPA OBRA'!G$1&amp;", ","")&amp;
IF(INDEX('ETAPA OBRA'!H:H,MATCH($B15,'ETAPA OBRA'!$B:$B,0))="x",'ETAPA OBRA'!H$1&amp;", ","")&amp;
IF(INDEX('ETAPA OBRA'!I:I,MATCH($B15,'ETAPA OBRA'!$B:$B,0))="x",'ETAPA OBRA'!I$1&amp;", ","")&amp;
IF(INDEX('ETAPA OBRA'!J:J,MATCH($B15,'ETAPA OBRA'!$B:$B,0))="x",'ETAPA OBRA'!J$1&amp;", ","")&amp;
IF(INDEX('ETAPA OBRA'!K:K,MATCH($B15,'ETAPA OBRA'!$B:$B,0))="x",'ETAPA OBRA'!K$1&amp;", ","")&amp;
IF(INDEX('ETAPA OBRA'!L:L,MATCH($B15,'ETAPA OBRA'!$B:$B,0))="x",'ETAPA OBRA'!L$1&amp;", ","")&amp;
IF(INDEX('ETAPA OBRA'!M:M,MATCH($B15,'ETAPA OBRA'!$B:$B,0))="x",'ETAPA OBRA'!M$1&amp;", ","")&amp;
IF(INDEX('ETAPA OBRA'!N:N,MATCH($B15,'ETAPA OBRA'!$B:$B,0))="x",'ETAPA OBRA'!N$1&amp;", ","")&amp;
IF(INDEX('ETAPA OBRA'!O:O,MATCH($B15,'ETAPA OBRA'!$B:$B,0))="x",'ETAPA OBRA'!O$1&amp;", ","")&amp;
IF(INDEX('ETAPA OBRA'!P:P,MATCH($B15,'ETAPA OBRA'!$B:$B,0))="x",'ETAPA OBRA'!P$1&amp;", ","")&amp;
IF(INDEX('ETAPA OBRA'!Q:Q,MATCH($B15,'ETAPA OBRA'!$B:$B,0))="x",'ETAPA OBRA'!Q$1&amp;", ","")&amp;
IF(INDEX('ETAPA OBRA'!R:R,MATCH($B15,'ETAPA OBRA'!$B:$B,0))="x",'ETAPA OBRA'!R$1&amp;", ","")&amp;
IF(INDEX('ETAPA OBRA'!S:S,MATCH($B15,'ETAPA OBRA'!$B:$B,0))="x",'ETAPA OBRA'!S$1&amp;", ","")&amp;
IF(INDEX('ETAPA OBRA'!T:T,MATCH($B15,'ETAPA OBRA'!$B:$B,0))="x",'ETAPA OBRA'!T$1&amp;", ","")&amp;
IF(INDEX('ETAPA OBRA'!U:U,MATCH($B15,'ETAPA OBRA'!$B:$B,0))="x",'ETAPA OBRA'!U$1&amp;", ","")
)-2),"")</f>
        <v>Finalizado</v>
      </c>
      <c r="N15" s="23" t="str">
        <f t="shared" si="0"/>
        <v>Finalizado</v>
      </c>
      <c r="O15" s="28">
        <v>26432.799999999999</v>
      </c>
      <c r="P15" s="37">
        <f t="shared" si="1"/>
        <v>11871.47</v>
      </c>
      <c r="Q15" s="28">
        <f t="shared" si="2"/>
        <v>14561.33</v>
      </c>
      <c r="R15" s="29">
        <f t="shared" si="3"/>
        <v>0.55088110226688058</v>
      </c>
      <c r="S15" s="23" t="str">
        <f t="shared" si="4"/>
        <v>✅ OK - Fechar Parceiro</v>
      </c>
      <c r="T15" s="23" t="str">
        <f>Cronograma[[#This Row],[STATUS]]</f>
        <v>✅ CONCLUÍDO</v>
      </c>
    </row>
    <row r="16" spans="1:20" ht="14.4" x14ac:dyDescent="0.3">
      <c r="A16" s="23" t="s">
        <v>64</v>
      </c>
      <c r="B16" s="23" t="str">
        <f>IF(A16&lt;&gt;"","contel-"&amp;TEXT(COUNTA($A$2:A16),"00"),"")</f>
        <v>contel-15</v>
      </c>
      <c r="C16" s="23" t="s">
        <v>21</v>
      </c>
      <c r="D16" s="23" t="s">
        <v>65</v>
      </c>
      <c r="E16" s="23" t="s">
        <v>32</v>
      </c>
      <c r="F16" s="52" t="s">
        <v>66</v>
      </c>
      <c r="G16" s="23">
        <v>1689</v>
      </c>
      <c r="H16" s="24">
        <v>12708</v>
      </c>
      <c r="I16" s="23" t="s">
        <v>63</v>
      </c>
      <c r="J16" s="25">
        <f>SUM(EQUIPE!C16,EQUIPE!E16,EQUIPE!G16,EQUIPE!I16,EQUIPE!K16,EQUIPE!M16,EQUIPE!O16)</f>
        <v>5900</v>
      </c>
      <c r="K16" s="25">
        <v>0</v>
      </c>
      <c r="L16" s="25">
        <v>503.03</v>
      </c>
      <c r="M16" s="27" t="str">
        <f>IFERROR(LEFT(
IF(INDEX('ETAPA OBRA'!C:C,MATCH($B16,'ETAPA OBRA'!$B:$B,0))="x",'ETAPA OBRA'!C$1&amp;", ","")&amp;
IF(INDEX('ETAPA OBRA'!D:D,MATCH($B16,'ETAPA OBRA'!$B:$B,0))="x",'ETAPA OBRA'!D$1&amp;", ","")&amp;
IF(INDEX('ETAPA OBRA'!F:F,MATCH($B16,'ETAPA OBRA'!$B:$B,0))="x",'ETAPA OBRA'!F$1&amp;", ","")&amp;
IF(INDEX('ETAPA OBRA'!G:G,MATCH($B16,'ETAPA OBRA'!$B:$B,0))="x",'ETAPA OBRA'!G$1&amp;", ","")&amp;
IF(INDEX('ETAPA OBRA'!H:H,MATCH($B16,'ETAPA OBRA'!$B:$B,0))="x",'ETAPA OBRA'!H$1&amp;", ","")&amp;
IF(INDEX('ETAPA OBRA'!I:I,MATCH($B16,'ETAPA OBRA'!$B:$B,0))="x",'ETAPA OBRA'!I$1&amp;", ","")&amp;
IF(INDEX('ETAPA OBRA'!J:J,MATCH($B16,'ETAPA OBRA'!$B:$B,0))="x",'ETAPA OBRA'!J$1&amp;", ","")&amp;
IF(INDEX('ETAPA OBRA'!K:K,MATCH($B16,'ETAPA OBRA'!$B:$B,0))="x",'ETAPA OBRA'!K$1&amp;", ","")&amp;
IF(INDEX('ETAPA OBRA'!L:L,MATCH($B16,'ETAPA OBRA'!$B:$B,0))="x",'ETAPA OBRA'!L$1&amp;", ","")&amp;
IF(INDEX('ETAPA OBRA'!M:M,MATCH($B16,'ETAPA OBRA'!$B:$B,0))="x",'ETAPA OBRA'!M$1&amp;", ","")&amp;
IF(INDEX('ETAPA OBRA'!N:N,MATCH($B16,'ETAPA OBRA'!$B:$B,0))="x",'ETAPA OBRA'!N$1&amp;", ","")&amp;
IF(INDEX('ETAPA OBRA'!O:O,MATCH($B16,'ETAPA OBRA'!$B:$B,0))="x",'ETAPA OBRA'!O$1&amp;", ","")&amp;
IF(INDEX('ETAPA OBRA'!P:P,MATCH($B16,'ETAPA OBRA'!$B:$B,0))="x",'ETAPA OBRA'!P$1&amp;", ","")&amp;
IF(INDEX('ETAPA OBRA'!Q:Q,MATCH($B16,'ETAPA OBRA'!$B:$B,0))="x",'ETAPA OBRA'!Q$1&amp;", ","")&amp;
IF(INDEX('ETAPA OBRA'!R:R,MATCH($B16,'ETAPA OBRA'!$B:$B,0))="x",'ETAPA OBRA'!R$1&amp;", ","")&amp;
IF(INDEX('ETAPA OBRA'!S:S,MATCH($B16,'ETAPA OBRA'!$B:$B,0))="x",'ETAPA OBRA'!S$1&amp;", ","")&amp;
IF(INDEX('ETAPA OBRA'!T:T,MATCH($B16,'ETAPA OBRA'!$B:$B,0))="x",'ETAPA OBRA'!T$1&amp;", ","")&amp;
IF(INDEX('ETAPA OBRA'!U:U,MATCH($B16,'ETAPA OBRA'!$B:$B,0))="x",'ETAPA OBRA'!U$1&amp;", ",""),LEN(
IF(INDEX('ETAPA OBRA'!C:C,MATCH($B16,'ETAPA OBRA'!$B:$B,0))="x",'ETAPA OBRA'!C$1&amp;", ","")&amp;
IF(INDEX('ETAPA OBRA'!D:D,MATCH($B16,'ETAPA OBRA'!$B:$B,0))="x",'ETAPA OBRA'!D$1&amp;", ","")&amp;
IF(INDEX('ETAPA OBRA'!F:F,MATCH($B16,'ETAPA OBRA'!$B:$B,0))="x",'ETAPA OBRA'!F$1&amp;", ","")&amp;
IF(INDEX('ETAPA OBRA'!G:G,MATCH($B16,'ETAPA OBRA'!$B:$B,0))="x",'ETAPA OBRA'!G$1&amp;", ","")&amp;
IF(INDEX('ETAPA OBRA'!H:H,MATCH($B16,'ETAPA OBRA'!$B:$B,0))="x",'ETAPA OBRA'!H$1&amp;", ","")&amp;
IF(INDEX('ETAPA OBRA'!I:I,MATCH($B16,'ETAPA OBRA'!$B:$B,0))="x",'ETAPA OBRA'!I$1&amp;", ","")&amp;
IF(INDEX('ETAPA OBRA'!J:J,MATCH($B16,'ETAPA OBRA'!$B:$B,0))="x",'ETAPA OBRA'!J$1&amp;", ","")&amp;
IF(INDEX('ETAPA OBRA'!K:K,MATCH($B16,'ETAPA OBRA'!$B:$B,0))="x",'ETAPA OBRA'!K$1&amp;", ","")&amp;
IF(INDEX('ETAPA OBRA'!L:L,MATCH($B16,'ETAPA OBRA'!$B:$B,0))="x",'ETAPA OBRA'!L$1&amp;", ","")&amp;
IF(INDEX('ETAPA OBRA'!M:M,MATCH($B16,'ETAPA OBRA'!$B:$B,0))="x",'ETAPA OBRA'!M$1&amp;", ","")&amp;
IF(INDEX('ETAPA OBRA'!N:N,MATCH($B16,'ETAPA OBRA'!$B:$B,0))="x",'ETAPA OBRA'!N$1&amp;", ","")&amp;
IF(INDEX('ETAPA OBRA'!O:O,MATCH($B16,'ETAPA OBRA'!$B:$B,0))="x",'ETAPA OBRA'!O$1&amp;", ","")&amp;
IF(INDEX('ETAPA OBRA'!P:P,MATCH($B16,'ETAPA OBRA'!$B:$B,0))="x",'ETAPA OBRA'!P$1&amp;", ","")&amp;
IF(INDEX('ETAPA OBRA'!Q:Q,MATCH($B16,'ETAPA OBRA'!$B:$B,0))="x",'ETAPA OBRA'!Q$1&amp;", ","")&amp;
IF(INDEX('ETAPA OBRA'!R:R,MATCH($B16,'ETAPA OBRA'!$B:$B,0))="x",'ETAPA OBRA'!R$1&amp;", ","")&amp;
IF(INDEX('ETAPA OBRA'!S:S,MATCH($B16,'ETAPA OBRA'!$B:$B,0))="x",'ETAPA OBRA'!S$1&amp;", ","")&amp;
IF(INDEX('ETAPA OBRA'!T:T,MATCH($B16,'ETAPA OBRA'!$B:$B,0))="x",'ETAPA OBRA'!T$1&amp;", ","")&amp;
IF(INDEX('ETAPA OBRA'!U:U,MATCH($B16,'ETAPA OBRA'!$B:$B,0))="x",'ETAPA OBRA'!U$1&amp;", ","")
)-2),"")</f>
        <v>Finalizado</v>
      </c>
      <c r="N16" s="23" t="str">
        <f t="shared" si="0"/>
        <v>Finalizado</v>
      </c>
      <c r="O16" s="28">
        <v>10686</v>
      </c>
      <c r="P16" s="37">
        <f t="shared" si="1"/>
        <v>6403.03</v>
      </c>
      <c r="Q16" s="28">
        <f t="shared" si="2"/>
        <v>4282.97</v>
      </c>
      <c r="R16" s="29">
        <f t="shared" si="3"/>
        <v>0.40080198390417371</v>
      </c>
      <c r="S16" s="23" t="str">
        <f t="shared" si="4"/>
        <v>✅ OK - Fechar Parceiro</v>
      </c>
      <c r="T16" s="23" t="str">
        <f>Cronograma[[#This Row],[STATUS]]</f>
        <v>✅ CONCLUÍDO</v>
      </c>
    </row>
    <row r="17" spans="1:20" ht="14.4" x14ac:dyDescent="0.3">
      <c r="A17" s="23" t="s">
        <v>67</v>
      </c>
      <c r="B17" s="23" t="str">
        <f>IF(A17&lt;&gt;"","contel-"&amp;TEXT(COUNTA($A$2:A17),"00"),"")</f>
        <v>contel-16</v>
      </c>
      <c r="C17" s="23" t="s">
        <v>21</v>
      </c>
      <c r="D17" s="23" t="s">
        <v>68</v>
      </c>
      <c r="E17" s="23" t="s">
        <v>32</v>
      </c>
      <c r="F17" s="52" t="s">
        <v>69</v>
      </c>
      <c r="G17" s="23">
        <v>1690</v>
      </c>
      <c r="H17" s="24">
        <v>12709</v>
      </c>
      <c r="I17" s="23" t="s">
        <v>25</v>
      </c>
      <c r="J17" s="25">
        <f>SUM(EQUIPE!C17,EQUIPE!E17,EQUIPE!G17,EQUIPE!I17,EQUIPE!K17,EQUIPE!M17,EQUIPE!O17)</f>
        <v>2600</v>
      </c>
      <c r="K17" s="25">
        <v>690</v>
      </c>
      <c r="L17" s="25">
        <v>405.79</v>
      </c>
      <c r="M17" s="27" t="str">
        <f>IFERROR(LEFT(
IF(INDEX('ETAPA OBRA'!C:C,MATCH($B17,'ETAPA OBRA'!$B:$B,0))="x",'ETAPA OBRA'!C$1&amp;", ","")&amp;
IF(INDEX('ETAPA OBRA'!D:D,MATCH($B17,'ETAPA OBRA'!$B:$B,0))="x",'ETAPA OBRA'!D$1&amp;", ","")&amp;
IF(INDEX('ETAPA OBRA'!F:F,MATCH($B17,'ETAPA OBRA'!$B:$B,0))="x",'ETAPA OBRA'!F$1&amp;", ","")&amp;
IF(INDEX('ETAPA OBRA'!G:G,MATCH($B17,'ETAPA OBRA'!$B:$B,0))="x",'ETAPA OBRA'!G$1&amp;", ","")&amp;
IF(INDEX('ETAPA OBRA'!H:H,MATCH($B17,'ETAPA OBRA'!$B:$B,0))="x",'ETAPA OBRA'!H$1&amp;", ","")&amp;
IF(INDEX('ETAPA OBRA'!I:I,MATCH($B17,'ETAPA OBRA'!$B:$B,0))="x",'ETAPA OBRA'!I$1&amp;", ","")&amp;
IF(INDEX('ETAPA OBRA'!J:J,MATCH($B17,'ETAPA OBRA'!$B:$B,0))="x",'ETAPA OBRA'!J$1&amp;", ","")&amp;
IF(INDEX('ETAPA OBRA'!K:K,MATCH($B17,'ETAPA OBRA'!$B:$B,0))="x",'ETAPA OBRA'!K$1&amp;", ","")&amp;
IF(INDEX('ETAPA OBRA'!L:L,MATCH($B17,'ETAPA OBRA'!$B:$B,0))="x",'ETAPA OBRA'!L$1&amp;", ","")&amp;
IF(INDEX('ETAPA OBRA'!M:M,MATCH($B17,'ETAPA OBRA'!$B:$B,0))="x",'ETAPA OBRA'!M$1&amp;", ","")&amp;
IF(INDEX('ETAPA OBRA'!N:N,MATCH($B17,'ETAPA OBRA'!$B:$B,0))="x",'ETAPA OBRA'!N$1&amp;", ","")&amp;
IF(INDEX('ETAPA OBRA'!O:O,MATCH($B17,'ETAPA OBRA'!$B:$B,0))="x",'ETAPA OBRA'!O$1&amp;", ","")&amp;
IF(INDEX('ETAPA OBRA'!P:P,MATCH($B17,'ETAPA OBRA'!$B:$B,0))="x",'ETAPA OBRA'!P$1&amp;", ","")&amp;
IF(INDEX('ETAPA OBRA'!Q:Q,MATCH($B17,'ETAPA OBRA'!$B:$B,0))="x",'ETAPA OBRA'!Q$1&amp;", ","")&amp;
IF(INDEX('ETAPA OBRA'!R:R,MATCH($B17,'ETAPA OBRA'!$B:$B,0))="x",'ETAPA OBRA'!R$1&amp;", ","")&amp;
IF(INDEX('ETAPA OBRA'!S:S,MATCH($B17,'ETAPA OBRA'!$B:$B,0))="x",'ETAPA OBRA'!S$1&amp;", ","")&amp;
IF(INDEX('ETAPA OBRA'!T:T,MATCH($B17,'ETAPA OBRA'!$B:$B,0))="x",'ETAPA OBRA'!T$1&amp;", ","")&amp;
IF(INDEX('ETAPA OBRA'!U:U,MATCH($B17,'ETAPA OBRA'!$B:$B,0))="x",'ETAPA OBRA'!U$1&amp;", ",""),LEN(
IF(INDEX('ETAPA OBRA'!C:C,MATCH($B17,'ETAPA OBRA'!$B:$B,0))="x",'ETAPA OBRA'!C$1&amp;", ","")&amp;
IF(INDEX('ETAPA OBRA'!D:D,MATCH($B17,'ETAPA OBRA'!$B:$B,0))="x",'ETAPA OBRA'!D$1&amp;", ","")&amp;
IF(INDEX('ETAPA OBRA'!F:F,MATCH($B17,'ETAPA OBRA'!$B:$B,0))="x",'ETAPA OBRA'!F$1&amp;", ","")&amp;
IF(INDEX('ETAPA OBRA'!G:G,MATCH($B17,'ETAPA OBRA'!$B:$B,0))="x",'ETAPA OBRA'!G$1&amp;", ","")&amp;
IF(INDEX('ETAPA OBRA'!H:H,MATCH($B17,'ETAPA OBRA'!$B:$B,0))="x",'ETAPA OBRA'!H$1&amp;", ","")&amp;
IF(INDEX('ETAPA OBRA'!I:I,MATCH($B17,'ETAPA OBRA'!$B:$B,0))="x",'ETAPA OBRA'!I$1&amp;", ","")&amp;
IF(INDEX('ETAPA OBRA'!J:J,MATCH($B17,'ETAPA OBRA'!$B:$B,0))="x",'ETAPA OBRA'!J$1&amp;", ","")&amp;
IF(INDEX('ETAPA OBRA'!K:K,MATCH($B17,'ETAPA OBRA'!$B:$B,0))="x",'ETAPA OBRA'!K$1&amp;", ","")&amp;
IF(INDEX('ETAPA OBRA'!L:L,MATCH($B17,'ETAPA OBRA'!$B:$B,0))="x",'ETAPA OBRA'!L$1&amp;", ","")&amp;
IF(INDEX('ETAPA OBRA'!M:M,MATCH($B17,'ETAPA OBRA'!$B:$B,0))="x",'ETAPA OBRA'!M$1&amp;", ","")&amp;
IF(INDEX('ETAPA OBRA'!N:N,MATCH($B17,'ETAPA OBRA'!$B:$B,0))="x",'ETAPA OBRA'!N$1&amp;", ","")&amp;
IF(INDEX('ETAPA OBRA'!O:O,MATCH($B17,'ETAPA OBRA'!$B:$B,0))="x",'ETAPA OBRA'!O$1&amp;", ","")&amp;
IF(INDEX('ETAPA OBRA'!P:P,MATCH($B17,'ETAPA OBRA'!$B:$B,0))="x",'ETAPA OBRA'!P$1&amp;", ","")&amp;
IF(INDEX('ETAPA OBRA'!Q:Q,MATCH($B17,'ETAPA OBRA'!$B:$B,0))="x",'ETAPA OBRA'!Q$1&amp;", ","")&amp;
IF(INDEX('ETAPA OBRA'!R:R,MATCH($B17,'ETAPA OBRA'!$B:$B,0))="x",'ETAPA OBRA'!R$1&amp;", ","")&amp;
IF(INDEX('ETAPA OBRA'!S:S,MATCH($B17,'ETAPA OBRA'!$B:$B,0))="x",'ETAPA OBRA'!S$1&amp;", ","")&amp;
IF(INDEX('ETAPA OBRA'!T:T,MATCH($B17,'ETAPA OBRA'!$B:$B,0))="x",'ETAPA OBRA'!T$1&amp;", ","")&amp;
IF(INDEX('ETAPA OBRA'!U:U,MATCH($B17,'ETAPA OBRA'!$B:$B,0))="x",'ETAPA OBRA'!U$1&amp;", ","")
)-2),"")</f>
        <v>Finalizado</v>
      </c>
      <c r="N17" s="23" t="str">
        <f t="shared" si="0"/>
        <v>Finalizado</v>
      </c>
      <c r="O17" s="28">
        <v>9043.36</v>
      </c>
      <c r="P17" s="37">
        <f t="shared" si="1"/>
        <v>3695.79</v>
      </c>
      <c r="Q17" s="28">
        <f t="shared" si="2"/>
        <v>5347.5700000000006</v>
      </c>
      <c r="R17" s="29">
        <f t="shared" si="3"/>
        <v>0.59132556925744417</v>
      </c>
      <c r="S17" s="23" t="str">
        <f t="shared" si="4"/>
        <v>✅ OK - Fechar Parceiro</v>
      </c>
      <c r="T17" s="23" t="str">
        <f>Cronograma[[#This Row],[STATUS]]</f>
        <v>✅ CONCLUÍDO</v>
      </c>
    </row>
    <row r="18" spans="1:20" ht="14.4" x14ac:dyDescent="0.3">
      <c r="A18" s="23" t="s">
        <v>70</v>
      </c>
      <c r="B18" s="23" t="str">
        <f>IF(A18&lt;&gt;"","contel-"&amp;TEXT(COUNTA($A$2:A18),"00"),"")</f>
        <v>contel-17</v>
      </c>
      <c r="C18" s="23" t="s">
        <v>21</v>
      </c>
      <c r="D18" s="23" t="s">
        <v>71</v>
      </c>
      <c r="E18" s="23" t="s">
        <v>32</v>
      </c>
      <c r="F18" s="52" t="s">
        <v>72</v>
      </c>
      <c r="G18" s="23">
        <v>1691</v>
      </c>
      <c r="H18" s="24">
        <v>12710</v>
      </c>
      <c r="I18" s="23" t="s">
        <v>63</v>
      </c>
      <c r="J18" s="25">
        <f>SUM(EQUIPE!C18,EQUIPE!E18,EQUIPE!G18,EQUIPE!I18,EQUIPE!K18,EQUIPE!M18,EQUIPE!O18)</f>
        <v>7100</v>
      </c>
      <c r="K18" s="25">
        <v>0</v>
      </c>
      <c r="L18" s="25">
        <v>813.03</v>
      </c>
      <c r="M18" s="27" t="str">
        <f>IFERROR(LEFT(
IF(INDEX('ETAPA OBRA'!C:C,MATCH($B18,'ETAPA OBRA'!$B:$B,0))="x",'ETAPA OBRA'!C$1&amp;", ","")&amp;
IF(INDEX('ETAPA OBRA'!D:D,MATCH($B18,'ETAPA OBRA'!$B:$B,0))="x",'ETAPA OBRA'!D$1&amp;", ","")&amp;
IF(INDEX('ETAPA OBRA'!F:F,MATCH($B18,'ETAPA OBRA'!$B:$B,0))="x",'ETAPA OBRA'!F$1&amp;", ","")&amp;
IF(INDEX('ETAPA OBRA'!G:G,MATCH($B18,'ETAPA OBRA'!$B:$B,0))="x",'ETAPA OBRA'!G$1&amp;", ","")&amp;
IF(INDEX('ETAPA OBRA'!H:H,MATCH($B18,'ETAPA OBRA'!$B:$B,0))="x",'ETAPA OBRA'!H$1&amp;", ","")&amp;
IF(INDEX('ETAPA OBRA'!I:I,MATCH($B18,'ETAPA OBRA'!$B:$B,0))="x",'ETAPA OBRA'!I$1&amp;", ","")&amp;
IF(INDEX('ETAPA OBRA'!J:J,MATCH($B18,'ETAPA OBRA'!$B:$B,0))="x",'ETAPA OBRA'!J$1&amp;", ","")&amp;
IF(INDEX('ETAPA OBRA'!K:K,MATCH($B18,'ETAPA OBRA'!$B:$B,0))="x",'ETAPA OBRA'!K$1&amp;", ","")&amp;
IF(INDEX('ETAPA OBRA'!L:L,MATCH($B18,'ETAPA OBRA'!$B:$B,0))="x",'ETAPA OBRA'!L$1&amp;", ","")&amp;
IF(INDEX('ETAPA OBRA'!M:M,MATCH($B18,'ETAPA OBRA'!$B:$B,0))="x",'ETAPA OBRA'!M$1&amp;", ","")&amp;
IF(INDEX('ETAPA OBRA'!N:N,MATCH($B18,'ETAPA OBRA'!$B:$B,0))="x",'ETAPA OBRA'!N$1&amp;", ","")&amp;
IF(INDEX('ETAPA OBRA'!O:O,MATCH($B18,'ETAPA OBRA'!$B:$B,0))="x",'ETAPA OBRA'!O$1&amp;", ","")&amp;
IF(INDEX('ETAPA OBRA'!P:P,MATCH($B18,'ETAPA OBRA'!$B:$B,0))="x",'ETAPA OBRA'!P$1&amp;", ","")&amp;
IF(INDEX('ETAPA OBRA'!Q:Q,MATCH($B18,'ETAPA OBRA'!$B:$B,0))="x",'ETAPA OBRA'!Q$1&amp;", ","")&amp;
IF(INDEX('ETAPA OBRA'!R:R,MATCH($B18,'ETAPA OBRA'!$B:$B,0))="x",'ETAPA OBRA'!R$1&amp;", ","")&amp;
IF(INDEX('ETAPA OBRA'!S:S,MATCH($B18,'ETAPA OBRA'!$B:$B,0))="x",'ETAPA OBRA'!S$1&amp;", ","")&amp;
IF(INDEX('ETAPA OBRA'!T:T,MATCH($B18,'ETAPA OBRA'!$B:$B,0))="x",'ETAPA OBRA'!T$1&amp;", ","")&amp;
IF(INDEX('ETAPA OBRA'!U:U,MATCH($B18,'ETAPA OBRA'!$B:$B,0))="x",'ETAPA OBRA'!U$1&amp;", ",""),LEN(
IF(INDEX('ETAPA OBRA'!C:C,MATCH($B18,'ETAPA OBRA'!$B:$B,0))="x",'ETAPA OBRA'!C$1&amp;", ","")&amp;
IF(INDEX('ETAPA OBRA'!D:D,MATCH($B18,'ETAPA OBRA'!$B:$B,0))="x",'ETAPA OBRA'!D$1&amp;", ","")&amp;
IF(INDEX('ETAPA OBRA'!F:F,MATCH($B18,'ETAPA OBRA'!$B:$B,0))="x",'ETAPA OBRA'!F$1&amp;", ","")&amp;
IF(INDEX('ETAPA OBRA'!G:G,MATCH($B18,'ETAPA OBRA'!$B:$B,0))="x",'ETAPA OBRA'!G$1&amp;", ","")&amp;
IF(INDEX('ETAPA OBRA'!H:H,MATCH($B18,'ETAPA OBRA'!$B:$B,0))="x",'ETAPA OBRA'!H$1&amp;", ","")&amp;
IF(INDEX('ETAPA OBRA'!I:I,MATCH($B18,'ETAPA OBRA'!$B:$B,0))="x",'ETAPA OBRA'!I$1&amp;", ","")&amp;
IF(INDEX('ETAPA OBRA'!J:J,MATCH($B18,'ETAPA OBRA'!$B:$B,0))="x",'ETAPA OBRA'!J$1&amp;", ","")&amp;
IF(INDEX('ETAPA OBRA'!K:K,MATCH($B18,'ETAPA OBRA'!$B:$B,0))="x",'ETAPA OBRA'!K$1&amp;", ","")&amp;
IF(INDEX('ETAPA OBRA'!L:L,MATCH($B18,'ETAPA OBRA'!$B:$B,0))="x",'ETAPA OBRA'!L$1&amp;", ","")&amp;
IF(INDEX('ETAPA OBRA'!M:M,MATCH($B18,'ETAPA OBRA'!$B:$B,0))="x",'ETAPA OBRA'!M$1&amp;", ","")&amp;
IF(INDEX('ETAPA OBRA'!N:N,MATCH($B18,'ETAPA OBRA'!$B:$B,0))="x",'ETAPA OBRA'!N$1&amp;", ","")&amp;
IF(INDEX('ETAPA OBRA'!O:O,MATCH($B18,'ETAPA OBRA'!$B:$B,0))="x",'ETAPA OBRA'!O$1&amp;", ","")&amp;
IF(INDEX('ETAPA OBRA'!P:P,MATCH($B18,'ETAPA OBRA'!$B:$B,0))="x",'ETAPA OBRA'!P$1&amp;", ","")&amp;
IF(INDEX('ETAPA OBRA'!Q:Q,MATCH($B18,'ETAPA OBRA'!$B:$B,0))="x",'ETAPA OBRA'!Q$1&amp;", ","")&amp;
IF(INDEX('ETAPA OBRA'!R:R,MATCH($B18,'ETAPA OBRA'!$B:$B,0))="x",'ETAPA OBRA'!R$1&amp;", ","")&amp;
IF(INDEX('ETAPA OBRA'!S:S,MATCH($B18,'ETAPA OBRA'!$B:$B,0))="x",'ETAPA OBRA'!S$1&amp;", ","")&amp;
IF(INDEX('ETAPA OBRA'!T:T,MATCH($B18,'ETAPA OBRA'!$B:$B,0))="x",'ETAPA OBRA'!T$1&amp;", ","")&amp;
IF(INDEX('ETAPA OBRA'!U:U,MATCH($B18,'ETAPA OBRA'!$B:$B,0))="x",'ETAPA OBRA'!U$1&amp;", ","")
)-2),"")</f>
        <v>Finalizado</v>
      </c>
      <c r="N18" s="23" t="str">
        <f t="shared" si="0"/>
        <v>Finalizado</v>
      </c>
      <c r="O18" s="28">
        <v>14054.63</v>
      </c>
      <c r="P18" s="37">
        <f t="shared" si="1"/>
        <v>7913.03</v>
      </c>
      <c r="Q18" s="28">
        <f t="shared" si="2"/>
        <v>6141.5999999999995</v>
      </c>
      <c r="R18" s="29">
        <f t="shared" si="3"/>
        <v>0.43698055373923039</v>
      </c>
      <c r="S18" s="23" t="str">
        <f t="shared" si="4"/>
        <v>✅ OK - Fechar Parceiro</v>
      </c>
      <c r="T18" s="23" t="str">
        <f>Cronograma[[#This Row],[STATUS]]</f>
        <v>✅ CONCLUÍDO</v>
      </c>
    </row>
    <row r="19" spans="1:20" ht="14.4" x14ac:dyDescent="0.3">
      <c r="A19" s="23" t="s">
        <v>73</v>
      </c>
      <c r="B19" s="23" t="str">
        <f>IF(A19&lt;&gt;"","contel-"&amp;TEXT(COUNTA($A$2:A19),"00"),"")</f>
        <v>contel-18</v>
      </c>
      <c r="C19" s="23" t="s">
        <v>21</v>
      </c>
      <c r="D19" s="23" t="s">
        <v>74</v>
      </c>
      <c r="E19" s="23" t="s">
        <v>75</v>
      </c>
      <c r="F19" s="52" t="s">
        <v>76</v>
      </c>
      <c r="G19" s="23">
        <v>1692</v>
      </c>
      <c r="H19" s="24">
        <v>12725</v>
      </c>
      <c r="I19" s="23" t="s">
        <v>25</v>
      </c>
      <c r="J19" s="25">
        <f>SUM(EQUIPE!C19,EQUIPE!E19,EQUIPE!G19,EQUIPE!I19,EQUIPE!K19,EQUIPE!M19,EQUIPE!O19)</f>
        <v>4000</v>
      </c>
      <c r="K19" s="25">
        <v>2506.37</v>
      </c>
      <c r="L19" s="25">
        <v>551.14</v>
      </c>
      <c r="M19" s="27" t="str">
        <f>IFERROR(LEFT(
IF(INDEX('ETAPA OBRA'!C:C,MATCH($B19,'ETAPA OBRA'!$B:$B,0))="x",'ETAPA OBRA'!C$1&amp;", ","")&amp;
IF(INDEX('ETAPA OBRA'!D:D,MATCH($B19,'ETAPA OBRA'!$B:$B,0))="x",'ETAPA OBRA'!D$1&amp;", ","")&amp;
IF(INDEX('ETAPA OBRA'!F:F,MATCH($B19,'ETAPA OBRA'!$B:$B,0))="x",'ETAPA OBRA'!F$1&amp;", ","")&amp;
IF(INDEX('ETAPA OBRA'!G:G,MATCH($B19,'ETAPA OBRA'!$B:$B,0))="x",'ETAPA OBRA'!G$1&amp;", ","")&amp;
IF(INDEX('ETAPA OBRA'!H:H,MATCH($B19,'ETAPA OBRA'!$B:$B,0))="x",'ETAPA OBRA'!H$1&amp;", ","")&amp;
IF(INDEX('ETAPA OBRA'!I:I,MATCH($B19,'ETAPA OBRA'!$B:$B,0))="x",'ETAPA OBRA'!I$1&amp;", ","")&amp;
IF(INDEX('ETAPA OBRA'!J:J,MATCH($B19,'ETAPA OBRA'!$B:$B,0))="x",'ETAPA OBRA'!J$1&amp;", ","")&amp;
IF(INDEX('ETAPA OBRA'!K:K,MATCH($B19,'ETAPA OBRA'!$B:$B,0))="x",'ETAPA OBRA'!K$1&amp;", ","")&amp;
IF(INDEX('ETAPA OBRA'!L:L,MATCH($B19,'ETAPA OBRA'!$B:$B,0))="x",'ETAPA OBRA'!L$1&amp;", ","")&amp;
IF(INDEX('ETAPA OBRA'!M:M,MATCH($B19,'ETAPA OBRA'!$B:$B,0))="x",'ETAPA OBRA'!M$1&amp;", ","")&amp;
IF(INDEX('ETAPA OBRA'!N:N,MATCH($B19,'ETAPA OBRA'!$B:$B,0))="x",'ETAPA OBRA'!N$1&amp;", ","")&amp;
IF(INDEX('ETAPA OBRA'!O:O,MATCH($B19,'ETAPA OBRA'!$B:$B,0))="x",'ETAPA OBRA'!O$1&amp;", ","")&amp;
IF(INDEX('ETAPA OBRA'!P:P,MATCH($B19,'ETAPA OBRA'!$B:$B,0))="x",'ETAPA OBRA'!P$1&amp;", ","")&amp;
IF(INDEX('ETAPA OBRA'!Q:Q,MATCH($B19,'ETAPA OBRA'!$B:$B,0))="x",'ETAPA OBRA'!Q$1&amp;", ","")&amp;
IF(INDEX('ETAPA OBRA'!R:R,MATCH($B19,'ETAPA OBRA'!$B:$B,0))="x",'ETAPA OBRA'!R$1&amp;", ","")&amp;
IF(INDEX('ETAPA OBRA'!S:S,MATCH($B19,'ETAPA OBRA'!$B:$B,0))="x",'ETAPA OBRA'!S$1&amp;", ","")&amp;
IF(INDEX('ETAPA OBRA'!T:T,MATCH($B19,'ETAPA OBRA'!$B:$B,0))="x",'ETAPA OBRA'!T$1&amp;", ","")&amp;
IF(INDEX('ETAPA OBRA'!U:U,MATCH($B19,'ETAPA OBRA'!$B:$B,0))="x",'ETAPA OBRA'!U$1&amp;", ",""),LEN(
IF(INDEX('ETAPA OBRA'!C:C,MATCH($B19,'ETAPA OBRA'!$B:$B,0))="x",'ETAPA OBRA'!C$1&amp;", ","")&amp;
IF(INDEX('ETAPA OBRA'!D:D,MATCH($B19,'ETAPA OBRA'!$B:$B,0))="x",'ETAPA OBRA'!D$1&amp;", ","")&amp;
IF(INDEX('ETAPA OBRA'!F:F,MATCH($B19,'ETAPA OBRA'!$B:$B,0))="x",'ETAPA OBRA'!F$1&amp;", ","")&amp;
IF(INDEX('ETAPA OBRA'!G:G,MATCH($B19,'ETAPA OBRA'!$B:$B,0))="x",'ETAPA OBRA'!G$1&amp;", ","")&amp;
IF(INDEX('ETAPA OBRA'!H:H,MATCH($B19,'ETAPA OBRA'!$B:$B,0))="x",'ETAPA OBRA'!H$1&amp;", ","")&amp;
IF(INDEX('ETAPA OBRA'!I:I,MATCH($B19,'ETAPA OBRA'!$B:$B,0))="x",'ETAPA OBRA'!I$1&amp;", ","")&amp;
IF(INDEX('ETAPA OBRA'!J:J,MATCH($B19,'ETAPA OBRA'!$B:$B,0))="x",'ETAPA OBRA'!J$1&amp;", ","")&amp;
IF(INDEX('ETAPA OBRA'!K:K,MATCH($B19,'ETAPA OBRA'!$B:$B,0))="x",'ETAPA OBRA'!K$1&amp;", ","")&amp;
IF(INDEX('ETAPA OBRA'!L:L,MATCH($B19,'ETAPA OBRA'!$B:$B,0))="x",'ETAPA OBRA'!L$1&amp;", ","")&amp;
IF(INDEX('ETAPA OBRA'!M:M,MATCH($B19,'ETAPA OBRA'!$B:$B,0))="x",'ETAPA OBRA'!M$1&amp;", ","")&amp;
IF(INDEX('ETAPA OBRA'!N:N,MATCH($B19,'ETAPA OBRA'!$B:$B,0))="x",'ETAPA OBRA'!N$1&amp;", ","")&amp;
IF(INDEX('ETAPA OBRA'!O:O,MATCH($B19,'ETAPA OBRA'!$B:$B,0))="x",'ETAPA OBRA'!O$1&amp;", ","")&amp;
IF(INDEX('ETAPA OBRA'!P:P,MATCH($B19,'ETAPA OBRA'!$B:$B,0))="x",'ETAPA OBRA'!P$1&amp;", ","")&amp;
IF(INDEX('ETAPA OBRA'!Q:Q,MATCH($B19,'ETAPA OBRA'!$B:$B,0))="x",'ETAPA OBRA'!Q$1&amp;", ","")&amp;
IF(INDEX('ETAPA OBRA'!R:R,MATCH($B19,'ETAPA OBRA'!$B:$B,0))="x",'ETAPA OBRA'!R$1&amp;", ","")&amp;
IF(INDEX('ETAPA OBRA'!S:S,MATCH($B19,'ETAPA OBRA'!$B:$B,0))="x",'ETAPA OBRA'!S$1&amp;", ","")&amp;
IF(INDEX('ETAPA OBRA'!T:T,MATCH($B19,'ETAPA OBRA'!$B:$B,0))="x",'ETAPA OBRA'!T$1&amp;", ","")&amp;
IF(INDEX('ETAPA OBRA'!U:U,MATCH($B19,'ETAPA OBRA'!$B:$B,0))="x",'ETAPA OBRA'!U$1&amp;", ","")
)-2),"")</f>
        <v>Finalizado</v>
      </c>
      <c r="N19" s="23" t="str">
        <f t="shared" si="0"/>
        <v>Finalizado</v>
      </c>
      <c r="O19" s="28">
        <v>11578.6</v>
      </c>
      <c r="P19" s="37">
        <f t="shared" si="1"/>
        <v>7057.51</v>
      </c>
      <c r="Q19" s="28">
        <f t="shared" si="2"/>
        <v>4521.09</v>
      </c>
      <c r="R19" s="29">
        <f t="shared" si="3"/>
        <v>0.3904694868118771</v>
      </c>
      <c r="S19" s="23" t="str">
        <f t="shared" si="4"/>
        <v>✅ OK - Fechar Parceiro</v>
      </c>
      <c r="T19" s="23" t="str">
        <f>Cronograma[[#This Row],[STATUS]]</f>
        <v>✅ CONCLUÍDO</v>
      </c>
    </row>
    <row r="20" spans="1:20" ht="14.4" x14ac:dyDescent="0.3">
      <c r="A20" s="23" t="s">
        <v>77</v>
      </c>
      <c r="B20" s="23" t="str">
        <f>IF(A20&lt;&gt;"","contel-"&amp;TEXT(COUNTA($A$2:A20),"00"),"")</f>
        <v>contel-19</v>
      </c>
      <c r="C20" s="23" t="s">
        <v>78</v>
      </c>
      <c r="D20" s="23" t="s">
        <v>79</v>
      </c>
      <c r="E20" s="23" t="s">
        <v>75</v>
      </c>
      <c r="F20" s="52" t="s">
        <v>80</v>
      </c>
      <c r="G20" s="23">
        <v>1693</v>
      </c>
      <c r="H20" s="24">
        <v>12706</v>
      </c>
      <c r="I20" s="23" t="s">
        <v>63</v>
      </c>
      <c r="J20" s="25">
        <f>SUM(EQUIPE!C20,EQUIPE!E20,EQUIPE!G20,EQUIPE!I20,EQUIPE!K20,EQUIPE!M20,EQUIPE!O20)</f>
        <v>67992.100000000006</v>
      </c>
      <c r="K20" s="25">
        <v>0</v>
      </c>
      <c r="L20" s="25">
        <v>1631.45</v>
      </c>
      <c r="M20" s="27" t="str">
        <f>IFERROR(LEFT(
IF(INDEX('ETAPA OBRA'!C:C,MATCH($B20,'ETAPA OBRA'!$B:$B,0))="x",'ETAPA OBRA'!C$1&amp;", ","")&amp;
IF(INDEX('ETAPA OBRA'!D:D,MATCH($B20,'ETAPA OBRA'!$B:$B,0))="x",'ETAPA OBRA'!D$1&amp;", ","")&amp;
IF(INDEX('ETAPA OBRA'!F:F,MATCH($B20,'ETAPA OBRA'!$B:$B,0))="x",'ETAPA OBRA'!F$1&amp;", ","")&amp;
IF(INDEX('ETAPA OBRA'!G:G,MATCH($B20,'ETAPA OBRA'!$B:$B,0))="x",'ETAPA OBRA'!G$1&amp;", ","")&amp;
IF(INDEX('ETAPA OBRA'!H:H,MATCH($B20,'ETAPA OBRA'!$B:$B,0))="x",'ETAPA OBRA'!H$1&amp;", ","")&amp;
IF(INDEX('ETAPA OBRA'!I:I,MATCH($B20,'ETAPA OBRA'!$B:$B,0))="x",'ETAPA OBRA'!I$1&amp;", ","")&amp;
IF(INDEX('ETAPA OBRA'!J:J,MATCH($B20,'ETAPA OBRA'!$B:$B,0))="x",'ETAPA OBRA'!J$1&amp;", ","")&amp;
IF(INDEX('ETAPA OBRA'!K:K,MATCH($B20,'ETAPA OBRA'!$B:$B,0))="x",'ETAPA OBRA'!K$1&amp;", ","")&amp;
IF(INDEX('ETAPA OBRA'!L:L,MATCH($B20,'ETAPA OBRA'!$B:$B,0))="x",'ETAPA OBRA'!L$1&amp;", ","")&amp;
IF(INDEX('ETAPA OBRA'!M:M,MATCH($B20,'ETAPA OBRA'!$B:$B,0))="x",'ETAPA OBRA'!M$1&amp;", ","")&amp;
IF(INDEX('ETAPA OBRA'!N:N,MATCH($B20,'ETAPA OBRA'!$B:$B,0))="x",'ETAPA OBRA'!N$1&amp;", ","")&amp;
IF(INDEX('ETAPA OBRA'!O:O,MATCH($B20,'ETAPA OBRA'!$B:$B,0))="x",'ETAPA OBRA'!O$1&amp;", ","")&amp;
IF(INDEX('ETAPA OBRA'!P:P,MATCH($B20,'ETAPA OBRA'!$B:$B,0))="x",'ETAPA OBRA'!P$1&amp;", ","")&amp;
IF(INDEX('ETAPA OBRA'!Q:Q,MATCH($B20,'ETAPA OBRA'!$B:$B,0))="x",'ETAPA OBRA'!Q$1&amp;", ","")&amp;
IF(INDEX('ETAPA OBRA'!R:R,MATCH($B20,'ETAPA OBRA'!$B:$B,0))="x",'ETAPA OBRA'!R$1&amp;", ","")&amp;
IF(INDEX('ETAPA OBRA'!S:S,MATCH($B20,'ETAPA OBRA'!$B:$B,0))="x",'ETAPA OBRA'!S$1&amp;", ","")&amp;
IF(INDEX('ETAPA OBRA'!T:T,MATCH($B20,'ETAPA OBRA'!$B:$B,0))="x",'ETAPA OBRA'!T$1&amp;", ","")&amp;
IF(INDEX('ETAPA OBRA'!U:U,MATCH($B20,'ETAPA OBRA'!$B:$B,0))="x",'ETAPA OBRA'!U$1&amp;", ",""),LEN(
IF(INDEX('ETAPA OBRA'!C:C,MATCH($B20,'ETAPA OBRA'!$B:$B,0))="x",'ETAPA OBRA'!C$1&amp;", ","")&amp;
IF(INDEX('ETAPA OBRA'!D:D,MATCH($B20,'ETAPA OBRA'!$B:$B,0))="x",'ETAPA OBRA'!D$1&amp;", ","")&amp;
IF(INDEX('ETAPA OBRA'!F:F,MATCH($B20,'ETAPA OBRA'!$B:$B,0))="x",'ETAPA OBRA'!F$1&amp;", ","")&amp;
IF(INDEX('ETAPA OBRA'!G:G,MATCH($B20,'ETAPA OBRA'!$B:$B,0))="x",'ETAPA OBRA'!G$1&amp;", ","")&amp;
IF(INDEX('ETAPA OBRA'!H:H,MATCH($B20,'ETAPA OBRA'!$B:$B,0))="x",'ETAPA OBRA'!H$1&amp;", ","")&amp;
IF(INDEX('ETAPA OBRA'!I:I,MATCH($B20,'ETAPA OBRA'!$B:$B,0))="x",'ETAPA OBRA'!I$1&amp;", ","")&amp;
IF(INDEX('ETAPA OBRA'!J:J,MATCH($B20,'ETAPA OBRA'!$B:$B,0))="x",'ETAPA OBRA'!J$1&amp;", ","")&amp;
IF(INDEX('ETAPA OBRA'!K:K,MATCH($B20,'ETAPA OBRA'!$B:$B,0))="x",'ETAPA OBRA'!K$1&amp;", ","")&amp;
IF(INDEX('ETAPA OBRA'!L:L,MATCH($B20,'ETAPA OBRA'!$B:$B,0))="x",'ETAPA OBRA'!L$1&amp;", ","")&amp;
IF(INDEX('ETAPA OBRA'!M:M,MATCH($B20,'ETAPA OBRA'!$B:$B,0))="x",'ETAPA OBRA'!M$1&amp;", ","")&amp;
IF(INDEX('ETAPA OBRA'!N:N,MATCH($B20,'ETAPA OBRA'!$B:$B,0))="x",'ETAPA OBRA'!N$1&amp;", ","")&amp;
IF(INDEX('ETAPA OBRA'!O:O,MATCH($B20,'ETAPA OBRA'!$B:$B,0))="x",'ETAPA OBRA'!O$1&amp;", ","")&amp;
IF(INDEX('ETAPA OBRA'!P:P,MATCH($B20,'ETAPA OBRA'!$B:$B,0))="x",'ETAPA OBRA'!P$1&amp;", ","")&amp;
IF(INDEX('ETAPA OBRA'!Q:Q,MATCH($B20,'ETAPA OBRA'!$B:$B,0))="x",'ETAPA OBRA'!Q$1&amp;", ","")&amp;
IF(INDEX('ETAPA OBRA'!R:R,MATCH($B20,'ETAPA OBRA'!$B:$B,0))="x",'ETAPA OBRA'!R$1&amp;", ","")&amp;
IF(INDEX('ETAPA OBRA'!S:S,MATCH($B20,'ETAPA OBRA'!$B:$B,0))="x",'ETAPA OBRA'!S$1&amp;", ","")&amp;
IF(INDEX('ETAPA OBRA'!T:T,MATCH($B20,'ETAPA OBRA'!$B:$B,0))="x",'ETAPA OBRA'!T$1&amp;", ","")&amp;
IF(INDEX('ETAPA OBRA'!U:U,MATCH($B20,'ETAPA OBRA'!$B:$B,0))="x",'ETAPA OBRA'!U$1&amp;", ","")
)-2),"")</f>
        <v>Finalizado</v>
      </c>
      <c r="N20" s="23" t="str">
        <f t="shared" si="0"/>
        <v>Finalizado</v>
      </c>
      <c r="O20" s="28">
        <v>96659.33</v>
      </c>
      <c r="P20" s="37">
        <f t="shared" si="1"/>
        <v>69623.55</v>
      </c>
      <c r="Q20" s="28">
        <f t="shared" si="2"/>
        <v>27035.78</v>
      </c>
      <c r="R20" s="29">
        <f t="shared" si="3"/>
        <v>0.2797017111540086</v>
      </c>
      <c r="S20" s="23" t="str">
        <f t="shared" si="4"/>
        <v>✅ OK - Fechar Parceiro</v>
      </c>
      <c r="T20" s="23" t="str">
        <f>Cronograma[[#This Row],[STATUS]]</f>
        <v>✅ CONCLUÍDO</v>
      </c>
    </row>
    <row r="21" spans="1:20" ht="14.4" x14ac:dyDescent="0.3">
      <c r="A21" s="23" t="s">
        <v>81</v>
      </c>
      <c r="B21" s="23" t="str">
        <f>IF(A21&lt;&gt;"","contel-"&amp;TEXT(COUNTA($A$2:A21),"00"),"")</f>
        <v>contel-20</v>
      </c>
      <c r="C21" s="23" t="s">
        <v>21</v>
      </c>
      <c r="D21" s="23" t="s">
        <v>27</v>
      </c>
      <c r="E21" s="23" t="s">
        <v>28</v>
      </c>
      <c r="F21" s="52" t="s">
        <v>82</v>
      </c>
      <c r="G21" s="23">
        <v>1699</v>
      </c>
      <c r="H21" s="24">
        <v>12890</v>
      </c>
      <c r="I21" s="23" t="s">
        <v>25</v>
      </c>
      <c r="J21" s="25">
        <f>SUM(EQUIPE!C21,EQUIPE!E21,EQUIPE!G21,EQUIPE!I21,EQUIPE!K21,EQUIPE!M21,EQUIPE!O21)</f>
        <v>0</v>
      </c>
      <c r="K21" s="25">
        <v>0</v>
      </c>
      <c r="L21" s="25">
        <v>22969.73</v>
      </c>
      <c r="M21" s="27" t="str">
        <f>IFERROR(LEFT(
IF(INDEX('ETAPA OBRA'!C:C,MATCH($B21,'ETAPA OBRA'!$B:$B,0))="x",'ETAPA OBRA'!C$1&amp;", ","")&amp;
IF(INDEX('ETAPA OBRA'!D:D,MATCH($B21,'ETAPA OBRA'!$B:$B,0))="x",'ETAPA OBRA'!D$1&amp;", ","")&amp;
IF(INDEX('ETAPA OBRA'!F:F,MATCH($B21,'ETAPA OBRA'!$B:$B,0))="x",'ETAPA OBRA'!F$1&amp;", ","")&amp;
IF(INDEX('ETAPA OBRA'!G:G,MATCH($B21,'ETAPA OBRA'!$B:$B,0))="x",'ETAPA OBRA'!G$1&amp;", ","")&amp;
IF(INDEX('ETAPA OBRA'!H:H,MATCH($B21,'ETAPA OBRA'!$B:$B,0))="x",'ETAPA OBRA'!H$1&amp;", ","")&amp;
IF(INDEX('ETAPA OBRA'!I:I,MATCH($B21,'ETAPA OBRA'!$B:$B,0))="x",'ETAPA OBRA'!I$1&amp;", ","")&amp;
IF(INDEX('ETAPA OBRA'!J:J,MATCH($B21,'ETAPA OBRA'!$B:$B,0))="x",'ETAPA OBRA'!J$1&amp;", ","")&amp;
IF(INDEX('ETAPA OBRA'!K:K,MATCH($B21,'ETAPA OBRA'!$B:$B,0))="x",'ETAPA OBRA'!K$1&amp;", ","")&amp;
IF(INDEX('ETAPA OBRA'!L:L,MATCH($B21,'ETAPA OBRA'!$B:$B,0))="x",'ETAPA OBRA'!L$1&amp;", ","")&amp;
IF(INDEX('ETAPA OBRA'!M:M,MATCH($B21,'ETAPA OBRA'!$B:$B,0))="x",'ETAPA OBRA'!M$1&amp;", ","")&amp;
IF(INDEX('ETAPA OBRA'!N:N,MATCH($B21,'ETAPA OBRA'!$B:$B,0))="x",'ETAPA OBRA'!N$1&amp;", ","")&amp;
IF(INDEX('ETAPA OBRA'!O:O,MATCH($B21,'ETAPA OBRA'!$B:$B,0))="x",'ETAPA OBRA'!O$1&amp;", ","")&amp;
IF(INDEX('ETAPA OBRA'!P:P,MATCH($B21,'ETAPA OBRA'!$B:$B,0))="x",'ETAPA OBRA'!P$1&amp;", ","")&amp;
IF(INDEX('ETAPA OBRA'!Q:Q,MATCH($B21,'ETAPA OBRA'!$B:$B,0))="x",'ETAPA OBRA'!Q$1&amp;", ","")&amp;
IF(INDEX('ETAPA OBRA'!R:R,MATCH($B21,'ETAPA OBRA'!$B:$B,0))="x",'ETAPA OBRA'!R$1&amp;", ","")&amp;
IF(INDEX('ETAPA OBRA'!S:S,MATCH($B21,'ETAPA OBRA'!$B:$B,0))="x",'ETAPA OBRA'!S$1&amp;", ","")&amp;
IF(INDEX('ETAPA OBRA'!T:T,MATCH($B21,'ETAPA OBRA'!$B:$B,0))="x",'ETAPA OBRA'!T$1&amp;", ","")&amp;
IF(INDEX('ETAPA OBRA'!U:U,MATCH($B21,'ETAPA OBRA'!$B:$B,0))="x",'ETAPA OBRA'!U$1&amp;", ",""),LEN(
IF(INDEX('ETAPA OBRA'!C:C,MATCH($B21,'ETAPA OBRA'!$B:$B,0))="x",'ETAPA OBRA'!C$1&amp;", ","")&amp;
IF(INDEX('ETAPA OBRA'!D:D,MATCH($B21,'ETAPA OBRA'!$B:$B,0))="x",'ETAPA OBRA'!D$1&amp;", ","")&amp;
IF(INDEX('ETAPA OBRA'!F:F,MATCH($B21,'ETAPA OBRA'!$B:$B,0))="x",'ETAPA OBRA'!F$1&amp;", ","")&amp;
IF(INDEX('ETAPA OBRA'!G:G,MATCH($B21,'ETAPA OBRA'!$B:$B,0))="x",'ETAPA OBRA'!G$1&amp;", ","")&amp;
IF(INDEX('ETAPA OBRA'!H:H,MATCH($B21,'ETAPA OBRA'!$B:$B,0))="x",'ETAPA OBRA'!H$1&amp;", ","")&amp;
IF(INDEX('ETAPA OBRA'!I:I,MATCH($B21,'ETAPA OBRA'!$B:$B,0))="x",'ETAPA OBRA'!I$1&amp;", ","")&amp;
IF(INDEX('ETAPA OBRA'!J:J,MATCH($B21,'ETAPA OBRA'!$B:$B,0))="x",'ETAPA OBRA'!J$1&amp;", ","")&amp;
IF(INDEX('ETAPA OBRA'!K:K,MATCH($B21,'ETAPA OBRA'!$B:$B,0))="x",'ETAPA OBRA'!K$1&amp;", ","")&amp;
IF(INDEX('ETAPA OBRA'!L:L,MATCH($B21,'ETAPA OBRA'!$B:$B,0))="x",'ETAPA OBRA'!L$1&amp;", ","")&amp;
IF(INDEX('ETAPA OBRA'!M:M,MATCH($B21,'ETAPA OBRA'!$B:$B,0))="x",'ETAPA OBRA'!M$1&amp;", ","")&amp;
IF(INDEX('ETAPA OBRA'!N:N,MATCH($B21,'ETAPA OBRA'!$B:$B,0))="x",'ETAPA OBRA'!N$1&amp;", ","")&amp;
IF(INDEX('ETAPA OBRA'!O:O,MATCH($B21,'ETAPA OBRA'!$B:$B,0))="x",'ETAPA OBRA'!O$1&amp;", ","")&amp;
IF(INDEX('ETAPA OBRA'!P:P,MATCH($B21,'ETAPA OBRA'!$B:$B,0))="x",'ETAPA OBRA'!P$1&amp;", ","")&amp;
IF(INDEX('ETAPA OBRA'!Q:Q,MATCH($B21,'ETAPA OBRA'!$B:$B,0))="x",'ETAPA OBRA'!Q$1&amp;", ","")&amp;
IF(INDEX('ETAPA OBRA'!R:R,MATCH($B21,'ETAPA OBRA'!$B:$B,0))="x",'ETAPA OBRA'!R$1&amp;", ","")&amp;
IF(INDEX('ETAPA OBRA'!S:S,MATCH($B21,'ETAPA OBRA'!$B:$B,0))="x",'ETAPA OBRA'!S$1&amp;", ","")&amp;
IF(INDEX('ETAPA OBRA'!T:T,MATCH($B21,'ETAPA OBRA'!$B:$B,0))="x",'ETAPA OBRA'!T$1&amp;", ","")&amp;
IF(INDEX('ETAPA OBRA'!U:U,MATCH($B21,'ETAPA OBRA'!$B:$B,0))="x",'ETAPA OBRA'!U$1&amp;", ","")
)-2),"")</f>
        <v>Finalizado</v>
      </c>
      <c r="N21" s="23" t="str">
        <f t="shared" si="0"/>
        <v>Finalizado</v>
      </c>
      <c r="O21" s="28">
        <v>31000</v>
      </c>
      <c r="P21" s="37">
        <f t="shared" si="1"/>
        <v>22969.73</v>
      </c>
      <c r="Q21" s="28">
        <f t="shared" si="2"/>
        <v>8030.27</v>
      </c>
      <c r="R21" s="29">
        <f t="shared" si="3"/>
        <v>0.25904096774193552</v>
      </c>
      <c r="S21" s="23" t="str">
        <f t="shared" si="4"/>
        <v>✅ OK - Fechar Parceiro</v>
      </c>
      <c r="T21" s="23" t="str">
        <f>Cronograma[[#This Row],[STATUS]]</f>
        <v>✅ CONCLUÍDO</v>
      </c>
    </row>
    <row r="22" spans="1:20" ht="14.4" x14ac:dyDescent="0.3">
      <c r="A22" s="23" t="s">
        <v>83</v>
      </c>
      <c r="B22" s="23" t="str">
        <f>IF(A22&lt;&gt;"","contel-"&amp;TEXT(COUNTA($A$2:A22),"00"),"")</f>
        <v>contel-21</v>
      </c>
      <c r="C22" s="23" t="s">
        <v>78</v>
      </c>
      <c r="D22" s="23" t="s">
        <v>84</v>
      </c>
      <c r="E22" s="23" t="s">
        <v>37</v>
      </c>
      <c r="F22" s="52" t="s">
        <v>85</v>
      </c>
      <c r="G22" s="23">
        <v>1703</v>
      </c>
      <c r="H22" s="24">
        <v>15333</v>
      </c>
      <c r="I22" s="23" t="s">
        <v>63</v>
      </c>
      <c r="J22" s="25">
        <f>SUM(EQUIPE!C22,EQUIPE!E22,EQUIPE!G22,EQUIPE!I22,EQUIPE!K22,EQUIPE!M22,EQUIPE!O22)</f>
        <v>68500</v>
      </c>
      <c r="K22" s="25">
        <v>0</v>
      </c>
      <c r="L22" s="25">
        <v>0</v>
      </c>
      <c r="M22" s="27" t="str">
        <f>IFERROR(LEFT(
IF(INDEX('ETAPA OBRA'!C:C,MATCH($B22,'ETAPA OBRA'!$B:$B,0))="x",'ETAPA OBRA'!C$1&amp;", ","")&amp;
IF(INDEX('ETAPA OBRA'!D:D,MATCH($B22,'ETAPA OBRA'!$B:$B,0))="x",'ETAPA OBRA'!D$1&amp;", ","")&amp;
IF(INDEX('ETAPA OBRA'!F:F,MATCH($B22,'ETAPA OBRA'!$B:$B,0))="x",'ETAPA OBRA'!F$1&amp;", ","")&amp;
IF(INDEX('ETAPA OBRA'!G:G,MATCH($B22,'ETAPA OBRA'!$B:$B,0))="x",'ETAPA OBRA'!G$1&amp;", ","")&amp;
IF(INDEX('ETAPA OBRA'!H:H,MATCH($B22,'ETAPA OBRA'!$B:$B,0))="x",'ETAPA OBRA'!H$1&amp;", ","")&amp;
IF(INDEX('ETAPA OBRA'!I:I,MATCH($B22,'ETAPA OBRA'!$B:$B,0))="x",'ETAPA OBRA'!I$1&amp;", ","")&amp;
IF(INDEX('ETAPA OBRA'!J:J,MATCH($B22,'ETAPA OBRA'!$B:$B,0))="x",'ETAPA OBRA'!J$1&amp;", ","")&amp;
IF(INDEX('ETAPA OBRA'!K:K,MATCH($B22,'ETAPA OBRA'!$B:$B,0))="x",'ETAPA OBRA'!K$1&amp;", ","")&amp;
IF(INDEX('ETAPA OBRA'!L:L,MATCH($B22,'ETAPA OBRA'!$B:$B,0))="x",'ETAPA OBRA'!L$1&amp;", ","")&amp;
IF(INDEX('ETAPA OBRA'!M:M,MATCH($B22,'ETAPA OBRA'!$B:$B,0))="x",'ETAPA OBRA'!M$1&amp;", ","")&amp;
IF(INDEX('ETAPA OBRA'!N:N,MATCH($B22,'ETAPA OBRA'!$B:$B,0))="x",'ETAPA OBRA'!N$1&amp;", ","")&amp;
IF(INDEX('ETAPA OBRA'!O:O,MATCH($B22,'ETAPA OBRA'!$B:$B,0))="x",'ETAPA OBRA'!O$1&amp;", ","")&amp;
IF(INDEX('ETAPA OBRA'!P:P,MATCH($B22,'ETAPA OBRA'!$B:$B,0))="x",'ETAPA OBRA'!P$1&amp;", ","")&amp;
IF(INDEX('ETAPA OBRA'!Q:Q,MATCH($B22,'ETAPA OBRA'!$B:$B,0))="x",'ETAPA OBRA'!Q$1&amp;", ","")&amp;
IF(INDEX('ETAPA OBRA'!R:R,MATCH($B22,'ETAPA OBRA'!$B:$B,0))="x",'ETAPA OBRA'!R$1&amp;", ","")&amp;
IF(INDEX('ETAPA OBRA'!S:S,MATCH($B22,'ETAPA OBRA'!$B:$B,0))="x",'ETAPA OBRA'!S$1&amp;", ","")&amp;
IF(INDEX('ETAPA OBRA'!T:T,MATCH($B22,'ETAPA OBRA'!$B:$B,0))="x",'ETAPA OBRA'!T$1&amp;", ","")&amp;
IF(INDEX('ETAPA OBRA'!U:U,MATCH($B22,'ETAPA OBRA'!$B:$B,0))="x",'ETAPA OBRA'!U$1&amp;", ",""),LEN(
IF(INDEX('ETAPA OBRA'!C:C,MATCH($B22,'ETAPA OBRA'!$B:$B,0))="x",'ETAPA OBRA'!C$1&amp;", ","")&amp;
IF(INDEX('ETAPA OBRA'!D:D,MATCH($B22,'ETAPA OBRA'!$B:$B,0))="x",'ETAPA OBRA'!D$1&amp;", ","")&amp;
IF(INDEX('ETAPA OBRA'!F:F,MATCH($B22,'ETAPA OBRA'!$B:$B,0))="x",'ETAPA OBRA'!F$1&amp;", ","")&amp;
IF(INDEX('ETAPA OBRA'!G:G,MATCH($B22,'ETAPA OBRA'!$B:$B,0))="x",'ETAPA OBRA'!G$1&amp;", ","")&amp;
IF(INDEX('ETAPA OBRA'!H:H,MATCH($B22,'ETAPA OBRA'!$B:$B,0))="x",'ETAPA OBRA'!H$1&amp;", ","")&amp;
IF(INDEX('ETAPA OBRA'!I:I,MATCH($B22,'ETAPA OBRA'!$B:$B,0))="x",'ETAPA OBRA'!I$1&amp;", ","")&amp;
IF(INDEX('ETAPA OBRA'!J:J,MATCH($B22,'ETAPA OBRA'!$B:$B,0))="x",'ETAPA OBRA'!J$1&amp;", ","")&amp;
IF(INDEX('ETAPA OBRA'!K:K,MATCH($B22,'ETAPA OBRA'!$B:$B,0))="x",'ETAPA OBRA'!K$1&amp;", ","")&amp;
IF(INDEX('ETAPA OBRA'!L:L,MATCH($B22,'ETAPA OBRA'!$B:$B,0))="x",'ETAPA OBRA'!L$1&amp;", ","")&amp;
IF(INDEX('ETAPA OBRA'!M:M,MATCH($B22,'ETAPA OBRA'!$B:$B,0))="x",'ETAPA OBRA'!M$1&amp;", ","")&amp;
IF(INDEX('ETAPA OBRA'!N:N,MATCH($B22,'ETAPA OBRA'!$B:$B,0))="x",'ETAPA OBRA'!N$1&amp;", ","")&amp;
IF(INDEX('ETAPA OBRA'!O:O,MATCH($B22,'ETAPA OBRA'!$B:$B,0))="x",'ETAPA OBRA'!O$1&amp;", ","")&amp;
IF(INDEX('ETAPA OBRA'!P:P,MATCH($B22,'ETAPA OBRA'!$B:$B,0))="x",'ETAPA OBRA'!P$1&amp;", ","")&amp;
IF(INDEX('ETAPA OBRA'!Q:Q,MATCH($B22,'ETAPA OBRA'!$B:$B,0))="x",'ETAPA OBRA'!Q$1&amp;", ","")&amp;
IF(INDEX('ETAPA OBRA'!R:R,MATCH($B22,'ETAPA OBRA'!$B:$B,0))="x",'ETAPA OBRA'!R$1&amp;", ","")&amp;
IF(INDEX('ETAPA OBRA'!S:S,MATCH($B22,'ETAPA OBRA'!$B:$B,0))="x",'ETAPA OBRA'!S$1&amp;", ","")&amp;
IF(INDEX('ETAPA OBRA'!T:T,MATCH($B22,'ETAPA OBRA'!$B:$B,0))="x",'ETAPA OBRA'!T$1&amp;", ","")&amp;
IF(INDEX('ETAPA OBRA'!U:U,MATCH($B22,'ETAPA OBRA'!$B:$B,0))="x",'ETAPA OBRA'!U$1&amp;", ","")
)-2),"")</f>
        <v>Finalizado</v>
      </c>
      <c r="N22" s="23" t="str">
        <f t="shared" si="0"/>
        <v>Finalizado</v>
      </c>
      <c r="O22" s="28">
        <v>124301.29</v>
      </c>
      <c r="P22" s="37">
        <f t="shared" si="1"/>
        <v>68500</v>
      </c>
      <c r="Q22" s="28">
        <f t="shared" si="2"/>
        <v>55801.289999999994</v>
      </c>
      <c r="R22" s="29">
        <f t="shared" si="3"/>
        <v>0.44891963711720123</v>
      </c>
      <c r="S22" s="23" t="str">
        <f t="shared" si="4"/>
        <v>✅ OK - Fechar Parceiro</v>
      </c>
      <c r="T22" s="23" t="str">
        <f>Cronograma[[#This Row],[STATUS]]</f>
        <v>✅ CONCLUÍDO</v>
      </c>
    </row>
    <row r="23" spans="1:20" ht="14.4" x14ac:dyDescent="0.3">
      <c r="A23" s="23" t="s">
        <v>86</v>
      </c>
      <c r="B23" s="23" t="str">
        <f>IF(A23&lt;&gt;"","contel-"&amp;TEXT(COUNTA($A$2:A23),"00"),"")</f>
        <v>contel-22</v>
      </c>
      <c r="C23" s="23" t="s">
        <v>21</v>
      </c>
      <c r="D23" s="23" t="s">
        <v>87</v>
      </c>
      <c r="E23" s="23" t="s">
        <v>88</v>
      </c>
      <c r="F23" s="52" t="s">
        <v>89</v>
      </c>
      <c r="G23" s="23">
        <v>1704</v>
      </c>
      <c r="H23" s="24">
        <v>15339</v>
      </c>
      <c r="I23" s="23" t="s">
        <v>90</v>
      </c>
      <c r="J23" s="25">
        <f>SUM(EQUIPE!C23,EQUIPE!E23,EQUIPE!G23,EQUIPE!I23,EQUIPE!K23,EQUIPE!M23,EQUIPE!O23)</f>
        <v>4700</v>
      </c>
      <c r="K23" s="25">
        <v>0</v>
      </c>
      <c r="L23" s="25">
        <v>976.47</v>
      </c>
      <c r="M23" s="27" t="str">
        <f>IFERROR(LEFT(
IF(INDEX('ETAPA OBRA'!C:C,MATCH($B23,'ETAPA OBRA'!$B:$B,0))="x",'ETAPA OBRA'!C$1&amp;", ","")&amp;
IF(INDEX('ETAPA OBRA'!D:D,MATCH($B23,'ETAPA OBRA'!$B:$B,0))="x",'ETAPA OBRA'!D$1&amp;", ","")&amp;
IF(INDEX('ETAPA OBRA'!F:F,MATCH($B23,'ETAPA OBRA'!$B:$B,0))="x",'ETAPA OBRA'!F$1&amp;", ","")&amp;
IF(INDEX('ETAPA OBRA'!G:G,MATCH($B23,'ETAPA OBRA'!$B:$B,0))="x",'ETAPA OBRA'!G$1&amp;", ","")&amp;
IF(INDEX('ETAPA OBRA'!H:H,MATCH($B23,'ETAPA OBRA'!$B:$B,0))="x",'ETAPA OBRA'!H$1&amp;", ","")&amp;
IF(INDEX('ETAPA OBRA'!I:I,MATCH($B23,'ETAPA OBRA'!$B:$B,0))="x",'ETAPA OBRA'!I$1&amp;", ","")&amp;
IF(INDEX('ETAPA OBRA'!J:J,MATCH($B23,'ETAPA OBRA'!$B:$B,0))="x",'ETAPA OBRA'!J$1&amp;", ","")&amp;
IF(INDEX('ETAPA OBRA'!K:K,MATCH($B23,'ETAPA OBRA'!$B:$B,0))="x",'ETAPA OBRA'!K$1&amp;", ","")&amp;
IF(INDEX('ETAPA OBRA'!L:L,MATCH($B23,'ETAPA OBRA'!$B:$B,0))="x",'ETAPA OBRA'!L$1&amp;", ","")&amp;
IF(INDEX('ETAPA OBRA'!M:M,MATCH($B23,'ETAPA OBRA'!$B:$B,0))="x",'ETAPA OBRA'!M$1&amp;", ","")&amp;
IF(INDEX('ETAPA OBRA'!N:N,MATCH($B23,'ETAPA OBRA'!$B:$B,0))="x",'ETAPA OBRA'!N$1&amp;", ","")&amp;
IF(INDEX('ETAPA OBRA'!O:O,MATCH($B23,'ETAPA OBRA'!$B:$B,0))="x",'ETAPA OBRA'!O$1&amp;", ","")&amp;
IF(INDEX('ETAPA OBRA'!P:P,MATCH($B23,'ETAPA OBRA'!$B:$B,0))="x",'ETAPA OBRA'!P$1&amp;", ","")&amp;
IF(INDEX('ETAPA OBRA'!Q:Q,MATCH($B23,'ETAPA OBRA'!$B:$B,0))="x",'ETAPA OBRA'!Q$1&amp;", ","")&amp;
IF(INDEX('ETAPA OBRA'!R:R,MATCH($B23,'ETAPA OBRA'!$B:$B,0))="x",'ETAPA OBRA'!R$1&amp;", ","")&amp;
IF(INDEX('ETAPA OBRA'!S:S,MATCH($B23,'ETAPA OBRA'!$B:$B,0))="x",'ETAPA OBRA'!S$1&amp;", ","")&amp;
IF(INDEX('ETAPA OBRA'!T:T,MATCH($B23,'ETAPA OBRA'!$B:$B,0))="x",'ETAPA OBRA'!T$1&amp;", ","")&amp;
IF(INDEX('ETAPA OBRA'!U:U,MATCH($B23,'ETAPA OBRA'!$B:$B,0))="x",'ETAPA OBRA'!U$1&amp;", ",""),LEN(
IF(INDEX('ETAPA OBRA'!C:C,MATCH($B23,'ETAPA OBRA'!$B:$B,0))="x",'ETAPA OBRA'!C$1&amp;", ","")&amp;
IF(INDEX('ETAPA OBRA'!D:D,MATCH($B23,'ETAPA OBRA'!$B:$B,0))="x",'ETAPA OBRA'!D$1&amp;", ","")&amp;
IF(INDEX('ETAPA OBRA'!F:F,MATCH($B23,'ETAPA OBRA'!$B:$B,0))="x",'ETAPA OBRA'!F$1&amp;", ","")&amp;
IF(INDEX('ETAPA OBRA'!G:G,MATCH($B23,'ETAPA OBRA'!$B:$B,0))="x",'ETAPA OBRA'!G$1&amp;", ","")&amp;
IF(INDEX('ETAPA OBRA'!H:H,MATCH($B23,'ETAPA OBRA'!$B:$B,0))="x",'ETAPA OBRA'!H$1&amp;", ","")&amp;
IF(INDEX('ETAPA OBRA'!I:I,MATCH($B23,'ETAPA OBRA'!$B:$B,0))="x",'ETAPA OBRA'!I$1&amp;", ","")&amp;
IF(INDEX('ETAPA OBRA'!J:J,MATCH($B23,'ETAPA OBRA'!$B:$B,0))="x",'ETAPA OBRA'!J$1&amp;", ","")&amp;
IF(INDEX('ETAPA OBRA'!K:K,MATCH($B23,'ETAPA OBRA'!$B:$B,0))="x",'ETAPA OBRA'!K$1&amp;", ","")&amp;
IF(INDEX('ETAPA OBRA'!L:L,MATCH($B23,'ETAPA OBRA'!$B:$B,0))="x",'ETAPA OBRA'!L$1&amp;", ","")&amp;
IF(INDEX('ETAPA OBRA'!M:M,MATCH($B23,'ETAPA OBRA'!$B:$B,0))="x",'ETAPA OBRA'!M$1&amp;", ","")&amp;
IF(INDEX('ETAPA OBRA'!N:N,MATCH($B23,'ETAPA OBRA'!$B:$B,0))="x",'ETAPA OBRA'!N$1&amp;", ","")&amp;
IF(INDEX('ETAPA OBRA'!O:O,MATCH($B23,'ETAPA OBRA'!$B:$B,0))="x",'ETAPA OBRA'!O$1&amp;", ","")&amp;
IF(INDEX('ETAPA OBRA'!P:P,MATCH($B23,'ETAPA OBRA'!$B:$B,0))="x",'ETAPA OBRA'!P$1&amp;", ","")&amp;
IF(INDEX('ETAPA OBRA'!Q:Q,MATCH($B23,'ETAPA OBRA'!$B:$B,0))="x",'ETAPA OBRA'!Q$1&amp;", ","")&amp;
IF(INDEX('ETAPA OBRA'!R:R,MATCH($B23,'ETAPA OBRA'!$B:$B,0))="x",'ETAPA OBRA'!R$1&amp;", ","")&amp;
IF(INDEX('ETAPA OBRA'!S:S,MATCH($B23,'ETAPA OBRA'!$B:$B,0))="x",'ETAPA OBRA'!S$1&amp;", ","")&amp;
IF(INDEX('ETAPA OBRA'!T:T,MATCH($B23,'ETAPA OBRA'!$B:$B,0))="x",'ETAPA OBRA'!T$1&amp;", ","")&amp;
IF(INDEX('ETAPA OBRA'!U:U,MATCH($B23,'ETAPA OBRA'!$B:$B,0))="x",'ETAPA OBRA'!U$1&amp;", ","")
)-2),"")</f>
        <v>Finalizado</v>
      </c>
      <c r="N23" s="23" t="str">
        <f t="shared" si="0"/>
        <v>Finalizado</v>
      </c>
      <c r="O23" s="28">
        <v>26179.15</v>
      </c>
      <c r="P23" s="37">
        <f t="shared" si="1"/>
        <v>5676.47</v>
      </c>
      <c r="Q23" s="28">
        <f t="shared" si="2"/>
        <v>20502.68</v>
      </c>
      <c r="R23" s="29">
        <f t="shared" si="3"/>
        <v>0.78316828468456767</v>
      </c>
      <c r="S23" s="23" t="str">
        <f t="shared" si="4"/>
        <v>✅ OK - Fechar Parceiro</v>
      </c>
      <c r="T23" s="23" t="str">
        <f>Cronograma[[#This Row],[STATUS]]</f>
        <v>✅ CONCLUÍDO</v>
      </c>
    </row>
    <row r="24" spans="1:20" ht="14.4" x14ac:dyDescent="0.3">
      <c r="A24" s="23" t="s">
        <v>91</v>
      </c>
      <c r="B24" s="23" t="str">
        <f>IF(A24&lt;&gt;"","contel-"&amp;TEXT(COUNTA($A$2:A24),"00"),"")</f>
        <v>contel-23</v>
      </c>
      <c r="C24" s="23" t="s">
        <v>21</v>
      </c>
      <c r="D24" s="23" t="s">
        <v>92</v>
      </c>
      <c r="E24" s="23" t="s">
        <v>93</v>
      </c>
      <c r="F24" s="52" t="s">
        <v>94</v>
      </c>
      <c r="G24" s="23">
        <v>1705</v>
      </c>
      <c r="H24" s="24">
        <v>15375</v>
      </c>
      <c r="I24" s="23" t="s">
        <v>90</v>
      </c>
      <c r="J24" s="25">
        <f>SUM(EQUIPE!C24,EQUIPE!E24,EQUIPE!G24,EQUIPE!I24,EQUIPE!K24,EQUIPE!M24,EQUIPE!O24)</f>
        <v>7000</v>
      </c>
      <c r="K24" s="25">
        <v>1887.66</v>
      </c>
      <c r="L24" s="25">
        <v>1242.55</v>
      </c>
      <c r="M24" s="27" t="str">
        <f>IFERROR(LEFT(
IF(INDEX('ETAPA OBRA'!C:C,MATCH($B24,'ETAPA OBRA'!$B:$B,0))="x",'ETAPA OBRA'!C$1&amp;", ","")&amp;
IF(INDEX('ETAPA OBRA'!D:D,MATCH($B24,'ETAPA OBRA'!$B:$B,0))="x",'ETAPA OBRA'!D$1&amp;", ","")&amp;
IF(INDEX('ETAPA OBRA'!F:F,MATCH($B24,'ETAPA OBRA'!$B:$B,0))="x",'ETAPA OBRA'!F$1&amp;", ","")&amp;
IF(INDEX('ETAPA OBRA'!G:G,MATCH($B24,'ETAPA OBRA'!$B:$B,0))="x",'ETAPA OBRA'!G$1&amp;", ","")&amp;
IF(INDEX('ETAPA OBRA'!H:H,MATCH($B24,'ETAPA OBRA'!$B:$B,0))="x",'ETAPA OBRA'!H$1&amp;", ","")&amp;
IF(INDEX('ETAPA OBRA'!I:I,MATCH($B24,'ETAPA OBRA'!$B:$B,0))="x",'ETAPA OBRA'!I$1&amp;", ","")&amp;
IF(INDEX('ETAPA OBRA'!J:J,MATCH($B24,'ETAPA OBRA'!$B:$B,0))="x",'ETAPA OBRA'!J$1&amp;", ","")&amp;
IF(INDEX('ETAPA OBRA'!K:K,MATCH($B24,'ETAPA OBRA'!$B:$B,0))="x",'ETAPA OBRA'!K$1&amp;", ","")&amp;
IF(INDEX('ETAPA OBRA'!L:L,MATCH($B24,'ETAPA OBRA'!$B:$B,0))="x",'ETAPA OBRA'!L$1&amp;", ","")&amp;
IF(INDEX('ETAPA OBRA'!M:M,MATCH($B24,'ETAPA OBRA'!$B:$B,0))="x",'ETAPA OBRA'!M$1&amp;", ","")&amp;
IF(INDEX('ETAPA OBRA'!N:N,MATCH($B24,'ETAPA OBRA'!$B:$B,0))="x",'ETAPA OBRA'!N$1&amp;", ","")&amp;
IF(INDEX('ETAPA OBRA'!O:O,MATCH($B24,'ETAPA OBRA'!$B:$B,0))="x",'ETAPA OBRA'!O$1&amp;", ","")&amp;
IF(INDEX('ETAPA OBRA'!P:P,MATCH($B24,'ETAPA OBRA'!$B:$B,0))="x",'ETAPA OBRA'!P$1&amp;", ","")&amp;
IF(INDEX('ETAPA OBRA'!Q:Q,MATCH($B24,'ETAPA OBRA'!$B:$B,0))="x",'ETAPA OBRA'!Q$1&amp;", ","")&amp;
IF(INDEX('ETAPA OBRA'!R:R,MATCH($B24,'ETAPA OBRA'!$B:$B,0))="x",'ETAPA OBRA'!R$1&amp;", ","")&amp;
IF(INDEX('ETAPA OBRA'!S:S,MATCH($B24,'ETAPA OBRA'!$B:$B,0))="x",'ETAPA OBRA'!S$1&amp;", ","")&amp;
IF(INDEX('ETAPA OBRA'!T:T,MATCH($B24,'ETAPA OBRA'!$B:$B,0))="x",'ETAPA OBRA'!T$1&amp;", ","")&amp;
IF(INDEX('ETAPA OBRA'!U:U,MATCH($B24,'ETAPA OBRA'!$B:$B,0))="x",'ETAPA OBRA'!U$1&amp;", ",""),LEN(
IF(INDEX('ETAPA OBRA'!C:C,MATCH($B24,'ETAPA OBRA'!$B:$B,0))="x",'ETAPA OBRA'!C$1&amp;", ","")&amp;
IF(INDEX('ETAPA OBRA'!D:D,MATCH($B24,'ETAPA OBRA'!$B:$B,0))="x",'ETAPA OBRA'!D$1&amp;", ","")&amp;
IF(INDEX('ETAPA OBRA'!F:F,MATCH($B24,'ETAPA OBRA'!$B:$B,0))="x",'ETAPA OBRA'!F$1&amp;", ","")&amp;
IF(INDEX('ETAPA OBRA'!G:G,MATCH($B24,'ETAPA OBRA'!$B:$B,0))="x",'ETAPA OBRA'!G$1&amp;", ","")&amp;
IF(INDEX('ETAPA OBRA'!H:H,MATCH($B24,'ETAPA OBRA'!$B:$B,0))="x",'ETAPA OBRA'!H$1&amp;", ","")&amp;
IF(INDEX('ETAPA OBRA'!I:I,MATCH($B24,'ETAPA OBRA'!$B:$B,0))="x",'ETAPA OBRA'!I$1&amp;", ","")&amp;
IF(INDEX('ETAPA OBRA'!J:J,MATCH($B24,'ETAPA OBRA'!$B:$B,0))="x",'ETAPA OBRA'!J$1&amp;", ","")&amp;
IF(INDEX('ETAPA OBRA'!K:K,MATCH($B24,'ETAPA OBRA'!$B:$B,0))="x",'ETAPA OBRA'!K$1&amp;", ","")&amp;
IF(INDEX('ETAPA OBRA'!L:L,MATCH($B24,'ETAPA OBRA'!$B:$B,0))="x",'ETAPA OBRA'!L$1&amp;", ","")&amp;
IF(INDEX('ETAPA OBRA'!M:M,MATCH($B24,'ETAPA OBRA'!$B:$B,0))="x",'ETAPA OBRA'!M$1&amp;", ","")&amp;
IF(INDEX('ETAPA OBRA'!N:N,MATCH($B24,'ETAPA OBRA'!$B:$B,0))="x",'ETAPA OBRA'!N$1&amp;", ","")&amp;
IF(INDEX('ETAPA OBRA'!O:O,MATCH($B24,'ETAPA OBRA'!$B:$B,0))="x",'ETAPA OBRA'!O$1&amp;", ","")&amp;
IF(INDEX('ETAPA OBRA'!P:P,MATCH($B24,'ETAPA OBRA'!$B:$B,0))="x",'ETAPA OBRA'!P$1&amp;", ","")&amp;
IF(INDEX('ETAPA OBRA'!Q:Q,MATCH($B24,'ETAPA OBRA'!$B:$B,0))="x",'ETAPA OBRA'!Q$1&amp;", ","")&amp;
IF(INDEX('ETAPA OBRA'!R:R,MATCH($B24,'ETAPA OBRA'!$B:$B,0))="x",'ETAPA OBRA'!R$1&amp;", ","")&amp;
IF(INDEX('ETAPA OBRA'!S:S,MATCH($B24,'ETAPA OBRA'!$B:$B,0))="x",'ETAPA OBRA'!S$1&amp;", ","")&amp;
IF(INDEX('ETAPA OBRA'!T:T,MATCH($B24,'ETAPA OBRA'!$B:$B,0))="x",'ETAPA OBRA'!T$1&amp;", ","")&amp;
IF(INDEX('ETAPA OBRA'!U:U,MATCH($B24,'ETAPA OBRA'!$B:$B,0))="x",'ETAPA OBRA'!U$1&amp;", ","")
)-2),"")</f>
        <v>Finalizado</v>
      </c>
      <c r="N24" s="23" t="str">
        <f t="shared" si="0"/>
        <v>Finalizado</v>
      </c>
      <c r="O24" s="28">
        <v>15777</v>
      </c>
      <c r="P24" s="37">
        <f t="shared" si="1"/>
        <v>10130.209999999999</v>
      </c>
      <c r="Q24" s="28">
        <f t="shared" si="2"/>
        <v>5646.7900000000009</v>
      </c>
      <c r="R24" s="29">
        <f t="shared" si="3"/>
        <v>0.35791278443303548</v>
      </c>
      <c r="S24" s="23" t="str">
        <f t="shared" si="4"/>
        <v>✅ OK - Fechar Parceiro</v>
      </c>
      <c r="T24" s="23" t="str">
        <f>Cronograma[[#This Row],[STATUS]]</f>
        <v>✅ CONCLUÍDO</v>
      </c>
    </row>
    <row r="25" spans="1:20" ht="14.4" x14ac:dyDescent="0.3">
      <c r="A25" s="23" t="s">
        <v>95</v>
      </c>
      <c r="B25" s="23" t="str">
        <f>IF(A25&lt;&gt;"","contel-"&amp;TEXT(COUNTA($A$2:A25),"00"),"")</f>
        <v>contel-24</v>
      </c>
      <c r="C25" s="23" t="s">
        <v>21</v>
      </c>
      <c r="D25" s="23" t="s">
        <v>96</v>
      </c>
      <c r="E25" s="23" t="s">
        <v>97</v>
      </c>
      <c r="F25" s="52" t="s">
        <v>98</v>
      </c>
      <c r="G25" s="23">
        <v>1707</v>
      </c>
      <c r="H25" s="24">
        <v>15839</v>
      </c>
      <c r="I25" s="23" t="s">
        <v>25</v>
      </c>
      <c r="J25" s="25">
        <f>SUM(EQUIPE!C25,EQUIPE!E25,EQUIPE!G25,EQUIPE!I25,EQUIPE!K25,EQUIPE!M25,EQUIPE!O25)</f>
        <v>6000</v>
      </c>
      <c r="K25" s="25">
        <v>5882.71</v>
      </c>
      <c r="L25" s="25">
        <v>1060.22</v>
      </c>
      <c r="M25" s="27" t="str">
        <f>IFERROR(LEFT(
IF(INDEX('ETAPA OBRA'!C:C,MATCH($B25,'ETAPA OBRA'!$B:$B,0))="x",'ETAPA OBRA'!C$1&amp;", ","")&amp;
IF(INDEX('ETAPA OBRA'!D:D,MATCH($B25,'ETAPA OBRA'!$B:$B,0))="x",'ETAPA OBRA'!D$1&amp;", ","")&amp;
IF(INDEX('ETAPA OBRA'!F:F,MATCH($B25,'ETAPA OBRA'!$B:$B,0))="x",'ETAPA OBRA'!F$1&amp;", ","")&amp;
IF(INDEX('ETAPA OBRA'!G:G,MATCH($B25,'ETAPA OBRA'!$B:$B,0))="x",'ETAPA OBRA'!G$1&amp;", ","")&amp;
IF(INDEX('ETAPA OBRA'!H:H,MATCH($B25,'ETAPA OBRA'!$B:$B,0))="x",'ETAPA OBRA'!H$1&amp;", ","")&amp;
IF(INDEX('ETAPA OBRA'!I:I,MATCH($B25,'ETAPA OBRA'!$B:$B,0))="x",'ETAPA OBRA'!I$1&amp;", ","")&amp;
IF(INDEX('ETAPA OBRA'!J:J,MATCH($B25,'ETAPA OBRA'!$B:$B,0))="x",'ETAPA OBRA'!J$1&amp;", ","")&amp;
IF(INDEX('ETAPA OBRA'!K:K,MATCH($B25,'ETAPA OBRA'!$B:$B,0))="x",'ETAPA OBRA'!K$1&amp;", ","")&amp;
IF(INDEX('ETAPA OBRA'!L:L,MATCH($B25,'ETAPA OBRA'!$B:$B,0))="x",'ETAPA OBRA'!L$1&amp;", ","")&amp;
IF(INDEX('ETAPA OBRA'!M:M,MATCH($B25,'ETAPA OBRA'!$B:$B,0))="x",'ETAPA OBRA'!M$1&amp;", ","")&amp;
IF(INDEX('ETAPA OBRA'!N:N,MATCH($B25,'ETAPA OBRA'!$B:$B,0))="x",'ETAPA OBRA'!N$1&amp;", ","")&amp;
IF(INDEX('ETAPA OBRA'!O:O,MATCH($B25,'ETAPA OBRA'!$B:$B,0))="x",'ETAPA OBRA'!O$1&amp;", ","")&amp;
IF(INDEX('ETAPA OBRA'!P:P,MATCH($B25,'ETAPA OBRA'!$B:$B,0))="x",'ETAPA OBRA'!P$1&amp;", ","")&amp;
IF(INDEX('ETAPA OBRA'!Q:Q,MATCH($B25,'ETAPA OBRA'!$B:$B,0))="x",'ETAPA OBRA'!Q$1&amp;", ","")&amp;
IF(INDEX('ETAPA OBRA'!R:R,MATCH($B25,'ETAPA OBRA'!$B:$B,0))="x",'ETAPA OBRA'!R$1&amp;", ","")&amp;
IF(INDEX('ETAPA OBRA'!S:S,MATCH($B25,'ETAPA OBRA'!$B:$B,0))="x",'ETAPA OBRA'!S$1&amp;", ","")&amp;
IF(INDEX('ETAPA OBRA'!T:T,MATCH($B25,'ETAPA OBRA'!$B:$B,0))="x",'ETAPA OBRA'!T$1&amp;", ","")&amp;
IF(INDEX('ETAPA OBRA'!U:U,MATCH($B25,'ETAPA OBRA'!$B:$B,0))="x",'ETAPA OBRA'!U$1&amp;", ",""),LEN(
IF(INDEX('ETAPA OBRA'!C:C,MATCH($B25,'ETAPA OBRA'!$B:$B,0))="x",'ETAPA OBRA'!C$1&amp;", ","")&amp;
IF(INDEX('ETAPA OBRA'!D:D,MATCH($B25,'ETAPA OBRA'!$B:$B,0))="x",'ETAPA OBRA'!D$1&amp;", ","")&amp;
IF(INDEX('ETAPA OBRA'!F:F,MATCH($B25,'ETAPA OBRA'!$B:$B,0))="x",'ETAPA OBRA'!F$1&amp;", ","")&amp;
IF(INDEX('ETAPA OBRA'!G:G,MATCH($B25,'ETAPA OBRA'!$B:$B,0))="x",'ETAPA OBRA'!G$1&amp;", ","")&amp;
IF(INDEX('ETAPA OBRA'!H:H,MATCH($B25,'ETAPA OBRA'!$B:$B,0))="x",'ETAPA OBRA'!H$1&amp;", ","")&amp;
IF(INDEX('ETAPA OBRA'!I:I,MATCH($B25,'ETAPA OBRA'!$B:$B,0))="x",'ETAPA OBRA'!I$1&amp;", ","")&amp;
IF(INDEX('ETAPA OBRA'!J:J,MATCH($B25,'ETAPA OBRA'!$B:$B,0))="x",'ETAPA OBRA'!J$1&amp;", ","")&amp;
IF(INDEX('ETAPA OBRA'!K:K,MATCH($B25,'ETAPA OBRA'!$B:$B,0))="x",'ETAPA OBRA'!K$1&amp;", ","")&amp;
IF(INDEX('ETAPA OBRA'!L:L,MATCH($B25,'ETAPA OBRA'!$B:$B,0))="x",'ETAPA OBRA'!L$1&amp;", ","")&amp;
IF(INDEX('ETAPA OBRA'!M:M,MATCH($B25,'ETAPA OBRA'!$B:$B,0))="x",'ETAPA OBRA'!M$1&amp;", ","")&amp;
IF(INDEX('ETAPA OBRA'!N:N,MATCH($B25,'ETAPA OBRA'!$B:$B,0))="x",'ETAPA OBRA'!N$1&amp;", ","")&amp;
IF(INDEX('ETAPA OBRA'!O:O,MATCH($B25,'ETAPA OBRA'!$B:$B,0))="x",'ETAPA OBRA'!O$1&amp;", ","")&amp;
IF(INDEX('ETAPA OBRA'!P:P,MATCH($B25,'ETAPA OBRA'!$B:$B,0))="x",'ETAPA OBRA'!P$1&amp;", ","")&amp;
IF(INDEX('ETAPA OBRA'!Q:Q,MATCH($B25,'ETAPA OBRA'!$B:$B,0))="x",'ETAPA OBRA'!Q$1&amp;", ","")&amp;
IF(INDEX('ETAPA OBRA'!R:R,MATCH($B25,'ETAPA OBRA'!$B:$B,0))="x",'ETAPA OBRA'!R$1&amp;", ","")&amp;
IF(INDEX('ETAPA OBRA'!S:S,MATCH($B25,'ETAPA OBRA'!$B:$B,0))="x",'ETAPA OBRA'!S$1&amp;", ","")&amp;
IF(INDEX('ETAPA OBRA'!T:T,MATCH($B25,'ETAPA OBRA'!$B:$B,0))="x",'ETAPA OBRA'!T$1&amp;", ","")&amp;
IF(INDEX('ETAPA OBRA'!U:U,MATCH($B25,'ETAPA OBRA'!$B:$B,0))="x",'ETAPA OBRA'!U$1&amp;", ","")
)-2),"")</f>
        <v>Paralisada</v>
      </c>
      <c r="N25" s="23" t="str">
        <f t="shared" si="0"/>
        <v>Paralisada</v>
      </c>
      <c r="O25" s="28">
        <v>33367.08</v>
      </c>
      <c r="P25" s="37">
        <f t="shared" si="1"/>
        <v>12942.929999999998</v>
      </c>
      <c r="Q25" s="28">
        <f t="shared" si="2"/>
        <v>20424.150000000001</v>
      </c>
      <c r="R25" s="29">
        <f t="shared" si="3"/>
        <v>0.6121048050953215</v>
      </c>
      <c r="S25" s="23" t="str">
        <f t="shared" si="4"/>
        <v>✅ OK - Fechar Parceiro</v>
      </c>
      <c r="T25" s="23" t="str">
        <f>Cronograma[[#This Row],[STATUS]]</f>
        <v>⚠️ PARALISADO</v>
      </c>
    </row>
    <row r="26" spans="1:20" ht="14.4" x14ac:dyDescent="0.3">
      <c r="A26" s="23" t="s">
        <v>99</v>
      </c>
      <c r="B26" s="23" t="str">
        <f>IF(A26&lt;&gt;"","contel-"&amp;TEXT(COUNTA($A$2:A26),"00"),"")</f>
        <v>contel-25</v>
      </c>
      <c r="C26" s="23" t="s">
        <v>21</v>
      </c>
      <c r="D26" s="23" t="s">
        <v>96</v>
      </c>
      <c r="E26" s="23" t="s">
        <v>97</v>
      </c>
      <c r="F26" s="52" t="s">
        <v>100</v>
      </c>
      <c r="G26" s="23">
        <v>1708</v>
      </c>
      <c r="H26" s="24">
        <v>15835</v>
      </c>
      <c r="I26" s="23" t="s">
        <v>25</v>
      </c>
      <c r="J26" s="25">
        <f>SUM(EQUIPE!C26,EQUIPE!E26,EQUIPE!G26,EQUIPE!I26,EQUIPE!K26,EQUIPE!M26,EQUIPE!O26)</f>
        <v>10000</v>
      </c>
      <c r="K26" s="25">
        <v>6199.93</v>
      </c>
      <c r="L26" s="25">
        <v>2925.99</v>
      </c>
      <c r="M26" s="27" t="str">
        <f>IFERROR(LEFT(
IF(INDEX('ETAPA OBRA'!C:C,MATCH($B26,'ETAPA OBRA'!$B:$B,0))="x",'ETAPA OBRA'!C$1&amp;", ","")&amp;
IF(INDEX('ETAPA OBRA'!D:D,MATCH($B26,'ETAPA OBRA'!$B:$B,0))="x",'ETAPA OBRA'!D$1&amp;", ","")&amp;
IF(INDEX('ETAPA OBRA'!F:F,MATCH($B26,'ETAPA OBRA'!$B:$B,0))="x",'ETAPA OBRA'!F$1&amp;", ","")&amp;
IF(INDEX('ETAPA OBRA'!G:G,MATCH($B26,'ETAPA OBRA'!$B:$B,0))="x",'ETAPA OBRA'!G$1&amp;", ","")&amp;
IF(INDEX('ETAPA OBRA'!H:H,MATCH($B26,'ETAPA OBRA'!$B:$B,0))="x",'ETAPA OBRA'!H$1&amp;", ","")&amp;
IF(INDEX('ETAPA OBRA'!I:I,MATCH($B26,'ETAPA OBRA'!$B:$B,0))="x",'ETAPA OBRA'!I$1&amp;", ","")&amp;
IF(INDEX('ETAPA OBRA'!J:J,MATCH($B26,'ETAPA OBRA'!$B:$B,0))="x",'ETAPA OBRA'!J$1&amp;", ","")&amp;
IF(INDEX('ETAPA OBRA'!K:K,MATCH($B26,'ETAPA OBRA'!$B:$B,0))="x",'ETAPA OBRA'!K$1&amp;", ","")&amp;
IF(INDEX('ETAPA OBRA'!L:L,MATCH($B26,'ETAPA OBRA'!$B:$B,0))="x",'ETAPA OBRA'!L$1&amp;", ","")&amp;
IF(INDEX('ETAPA OBRA'!M:M,MATCH($B26,'ETAPA OBRA'!$B:$B,0))="x",'ETAPA OBRA'!M$1&amp;", ","")&amp;
IF(INDEX('ETAPA OBRA'!N:N,MATCH($B26,'ETAPA OBRA'!$B:$B,0))="x",'ETAPA OBRA'!N$1&amp;", ","")&amp;
IF(INDEX('ETAPA OBRA'!O:O,MATCH($B26,'ETAPA OBRA'!$B:$B,0))="x",'ETAPA OBRA'!O$1&amp;", ","")&amp;
IF(INDEX('ETAPA OBRA'!P:P,MATCH($B26,'ETAPA OBRA'!$B:$B,0))="x",'ETAPA OBRA'!P$1&amp;", ","")&amp;
IF(INDEX('ETAPA OBRA'!Q:Q,MATCH($B26,'ETAPA OBRA'!$B:$B,0))="x",'ETAPA OBRA'!Q$1&amp;", ","")&amp;
IF(INDEX('ETAPA OBRA'!R:R,MATCH($B26,'ETAPA OBRA'!$B:$B,0))="x",'ETAPA OBRA'!R$1&amp;", ","")&amp;
IF(INDEX('ETAPA OBRA'!S:S,MATCH($B26,'ETAPA OBRA'!$B:$B,0))="x",'ETAPA OBRA'!S$1&amp;", ","")&amp;
IF(INDEX('ETAPA OBRA'!T:T,MATCH($B26,'ETAPA OBRA'!$B:$B,0))="x",'ETAPA OBRA'!T$1&amp;", ","")&amp;
IF(INDEX('ETAPA OBRA'!U:U,MATCH($B26,'ETAPA OBRA'!$B:$B,0))="x",'ETAPA OBRA'!U$1&amp;", ",""),LEN(
IF(INDEX('ETAPA OBRA'!C:C,MATCH($B26,'ETAPA OBRA'!$B:$B,0))="x",'ETAPA OBRA'!C$1&amp;", ","")&amp;
IF(INDEX('ETAPA OBRA'!D:D,MATCH($B26,'ETAPA OBRA'!$B:$B,0))="x",'ETAPA OBRA'!D$1&amp;", ","")&amp;
IF(INDEX('ETAPA OBRA'!F:F,MATCH($B26,'ETAPA OBRA'!$B:$B,0))="x",'ETAPA OBRA'!F$1&amp;", ","")&amp;
IF(INDEX('ETAPA OBRA'!G:G,MATCH($B26,'ETAPA OBRA'!$B:$B,0))="x",'ETAPA OBRA'!G$1&amp;", ","")&amp;
IF(INDEX('ETAPA OBRA'!H:H,MATCH($B26,'ETAPA OBRA'!$B:$B,0))="x",'ETAPA OBRA'!H$1&amp;", ","")&amp;
IF(INDEX('ETAPA OBRA'!I:I,MATCH($B26,'ETAPA OBRA'!$B:$B,0))="x",'ETAPA OBRA'!I$1&amp;", ","")&amp;
IF(INDEX('ETAPA OBRA'!J:J,MATCH($B26,'ETAPA OBRA'!$B:$B,0))="x",'ETAPA OBRA'!J$1&amp;", ","")&amp;
IF(INDEX('ETAPA OBRA'!K:K,MATCH($B26,'ETAPA OBRA'!$B:$B,0))="x",'ETAPA OBRA'!K$1&amp;", ","")&amp;
IF(INDEX('ETAPA OBRA'!L:L,MATCH($B26,'ETAPA OBRA'!$B:$B,0))="x",'ETAPA OBRA'!L$1&amp;", ","")&amp;
IF(INDEX('ETAPA OBRA'!M:M,MATCH($B26,'ETAPA OBRA'!$B:$B,0))="x",'ETAPA OBRA'!M$1&amp;", ","")&amp;
IF(INDEX('ETAPA OBRA'!N:N,MATCH($B26,'ETAPA OBRA'!$B:$B,0))="x",'ETAPA OBRA'!N$1&amp;", ","")&amp;
IF(INDEX('ETAPA OBRA'!O:O,MATCH($B26,'ETAPA OBRA'!$B:$B,0))="x",'ETAPA OBRA'!O$1&amp;", ","")&amp;
IF(INDEX('ETAPA OBRA'!P:P,MATCH($B26,'ETAPA OBRA'!$B:$B,0))="x",'ETAPA OBRA'!P$1&amp;", ","")&amp;
IF(INDEX('ETAPA OBRA'!Q:Q,MATCH($B26,'ETAPA OBRA'!$B:$B,0))="x",'ETAPA OBRA'!Q$1&amp;", ","")&amp;
IF(INDEX('ETAPA OBRA'!R:R,MATCH($B26,'ETAPA OBRA'!$B:$B,0))="x",'ETAPA OBRA'!R$1&amp;", ","")&amp;
IF(INDEX('ETAPA OBRA'!S:S,MATCH($B26,'ETAPA OBRA'!$B:$B,0))="x",'ETAPA OBRA'!S$1&amp;", ","")&amp;
IF(INDEX('ETAPA OBRA'!T:T,MATCH($B26,'ETAPA OBRA'!$B:$B,0))="x",'ETAPA OBRA'!T$1&amp;", ","")&amp;
IF(INDEX('ETAPA OBRA'!U:U,MATCH($B26,'ETAPA OBRA'!$B:$B,0))="x",'ETAPA OBRA'!U$1&amp;", ","")
)-2),"")</f>
        <v>Finalizado</v>
      </c>
      <c r="N26" s="23" t="str">
        <f t="shared" si="0"/>
        <v>Finalizado</v>
      </c>
      <c r="O26" s="28">
        <v>41818.769999999997</v>
      </c>
      <c r="P26" s="37">
        <f t="shared" si="1"/>
        <v>19125.919999999998</v>
      </c>
      <c r="Q26" s="28">
        <f t="shared" si="2"/>
        <v>22692.85</v>
      </c>
      <c r="R26" s="29">
        <f t="shared" si="3"/>
        <v>0.54264747624093201</v>
      </c>
      <c r="S26" s="23" t="str">
        <f t="shared" si="4"/>
        <v>✅ OK - Fechar Parceiro</v>
      </c>
      <c r="T26" s="23" t="str">
        <f>Cronograma[[#This Row],[STATUS]]</f>
        <v>✅ CONCLUÍDO</v>
      </c>
    </row>
    <row r="27" spans="1:20" ht="14.4" x14ac:dyDescent="0.3">
      <c r="A27" s="23" t="s">
        <v>101</v>
      </c>
      <c r="B27" s="23" t="str">
        <f>IF(A27&lt;&gt;"","contel-"&amp;TEXT(COUNTA($A$2:A27),"00"),"")</f>
        <v>contel-26</v>
      </c>
      <c r="C27" s="23" t="s">
        <v>21</v>
      </c>
      <c r="D27" s="23" t="s">
        <v>96</v>
      </c>
      <c r="E27" s="23" t="s">
        <v>97</v>
      </c>
      <c r="F27" s="52" t="s">
        <v>102</v>
      </c>
      <c r="G27" s="23">
        <v>1710</v>
      </c>
      <c r="H27" s="24">
        <v>15837</v>
      </c>
      <c r="I27" s="23" t="s">
        <v>25</v>
      </c>
      <c r="J27" s="25">
        <f>SUM(EQUIPE!C27,EQUIPE!E27,EQUIPE!G27,EQUIPE!I27,EQUIPE!K27,EQUIPE!M27,EQUIPE!O27)</f>
        <v>5500</v>
      </c>
      <c r="K27" s="25">
        <v>6106.97</v>
      </c>
      <c r="L27" s="25">
        <v>2867.75</v>
      </c>
      <c r="M27" s="27" t="str">
        <f>IFERROR(LEFT(
IF(INDEX('ETAPA OBRA'!C:C,MATCH($B27,'ETAPA OBRA'!$B:$B,0))="x",'ETAPA OBRA'!C$1&amp;", ","")&amp;
IF(INDEX('ETAPA OBRA'!D:D,MATCH($B27,'ETAPA OBRA'!$B:$B,0))="x",'ETAPA OBRA'!D$1&amp;", ","")&amp;
IF(INDEX('ETAPA OBRA'!F:F,MATCH($B27,'ETAPA OBRA'!$B:$B,0))="x",'ETAPA OBRA'!F$1&amp;", ","")&amp;
IF(INDEX('ETAPA OBRA'!G:G,MATCH($B27,'ETAPA OBRA'!$B:$B,0))="x",'ETAPA OBRA'!G$1&amp;", ","")&amp;
IF(INDEX('ETAPA OBRA'!H:H,MATCH($B27,'ETAPA OBRA'!$B:$B,0))="x",'ETAPA OBRA'!H$1&amp;", ","")&amp;
IF(INDEX('ETAPA OBRA'!I:I,MATCH($B27,'ETAPA OBRA'!$B:$B,0))="x",'ETAPA OBRA'!I$1&amp;", ","")&amp;
IF(INDEX('ETAPA OBRA'!J:J,MATCH($B27,'ETAPA OBRA'!$B:$B,0))="x",'ETAPA OBRA'!J$1&amp;", ","")&amp;
IF(INDEX('ETAPA OBRA'!K:K,MATCH($B27,'ETAPA OBRA'!$B:$B,0))="x",'ETAPA OBRA'!K$1&amp;", ","")&amp;
IF(INDEX('ETAPA OBRA'!L:L,MATCH($B27,'ETAPA OBRA'!$B:$B,0))="x",'ETAPA OBRA'!L$1&amp;", ","")&amp;
IF(INDEX('ETAPA OBRA'!M:M,MATCH($B27,'ETAPA OBRA'!$B:$B,0))="x",'ETAPA OBRA'!M$1&amp;", ","")&amp;
IF(INDEX('ETAPA OBRA'!N:N,MATCH($B27,'ETAPA OBRA'!$B:$B,0))="x",'ETAPA OBRA'!N$1&amp;", ","")&amp;
IF(INDEX('ETAPA OBRA'!O:O,MATCH($B27,'ETAPA OBRA'!$B:$B,0))="x",'ETAPA OBRA'!O$1&amp;", ","")&amp;
IF(INDEX('ETAPA OBRA'!P:P,MATCH($B27,'ETAPA OBRA'!$B:$B,0))="x",'ETAPA OBRA'!P$1&amp;", ","")&amp;
IF(INDEX('ETAPA OBRA'!Q:Q,MATCH($B27,'ETAPA OBRA'!$B:$B,0))="x",'ETAPA OBRA'!Q$1&amp;", ","")&amp;
IF(INDEX('ETAPA OBRA'!R:R,MATCH($B27,'ETAPA OBRA'!$B:$B,0))="x",'ETAPA OBRA'!R$1&amp;", ","")&amp;
IF(INDEX('ETAPA OBRA'!S:S,MATCH($B27,'ETAPA OBRA'!$B:$B,0))="x",'ETAPA OBRA'!S$1&amp;", ","")&amp;
IF(INDEX('ETAPA OBRA'!T:T,MATCH($B27,'ETAPA OBRA'!$B:$B,0))="x",'ETAPA OBRA'!T$1&amp;", ","")&amp;
IF(INDEX('ETAPA OBRA'!U:U,MATCH($B27,'ETAPA OBRA'!$B:$B,0))="x",'ETAPA OBRA'!U$1&amp;", ",""),LEN(
IF(INDEX('ETAPA OBRA'!C:C,MATCH($B27,'ETAPA OBRA'!$B:$B,0))="x",'ETAPA OBRA'!C$1&amp;", ","")&amp;
IF(INDEX('ETAPA OBRA'!D:D,MATCH($B27,'ETAPA OBRA'!$B:$B,0))="x",'ETAPA OBRA'!D$1&amp;", ","")&amp;
IF(INDEX('ETAPA OBRA'!F:F,MATCH($B27,'ETAPA OBRA'!$B:$B,0))="x",'ETAPA OBRA'!F$1&amp;", ","")&amp;
IF(INDEX('ETAPA OBRA'!G:G,MATCH($B27,'ETAPA OBRA'!$B:$B,0))="x",'ETAPA OBRA'!G$1&amp;", ","")&amp;
IF(INDEX('ETAPA OBRA'!H:H,MATCH($B27,'ETAPA OBRA'!$B:$B,0))="x",'ETAPA OBRA'!H$1&amp;", ","")&amp;
IF(INDEX('ETAPA OBRA'!I:I,MATCH($B27,'ETAPA OBRA'!$B:$B,0))="x",'ETAPA OBRA'!I$1&amp;", ","")&amp;
IF(INDEX('ETAPA OBRA'!J:J,MATCH($B27,'ETAPA OBRA'!$B:$B,0))="x",'ETAPA OBRA'!J$1&amp;", ","")&amp;
IF(INDEX('ETAPA OBRA'!K:K,MATCH($B27,'ETAPA OBRA'!$B:$B,0))="x",'ETAPA OBRA'!K$1&amp;", ","")&amp;
IF(INDEX('ETAPA OBRA'!L:L,MATCH($B27,'ETAPA OBRA'!$B:$B,0))="x",'ETAPA OBRA'!L$1&amp;", ","")&amp;
IF(INDEX('ETAPA OBRA'!M:M,MATCH($B27,'ETAPA OBRA'!$B:$B,0))="x",'ETAPA OBRA'!M$1&amp;", ","")&amp;
IF(INDEX('ETAPA OBRA'!N:N,MATCH($B27,'ETAPA OBRA'!$B:$B,0))="x",'ETAPA OBRA'!N$1&amp;", ","")&amp;
IF(INDEX('ETAPA OBRA'!O:O,MATCH($B27,'ETAPA OBRA'!$B:$B,0))="x",'ETAPA OBRA'!O$1&amp;", ","")&amp;
IF(INDEX('ETAPA OBRA'!P:P,MATCH($B27,'ETAPA OBRA'!$B:$B,0))="x",'ETAPA OBRA'!P$1&amp;", ","")&amp;
IF(INDEX('ETAPA OBRA'!Q:Q,MATCH($B27,'ETAPA OBRA'!$B:$B,0))="x",'ETAPA OBRA'!Q$1&amp;", ","")&amp;
IF(INDEX('ETAPA OBRA'!R:R,MATCH($B27,'ETAPA OBRA'!$B:$B,0))="x",'ETAPA OBRA'!R$1&amp;", ","")&amp;
IF(INDEX('ETAPA OBRA'!S:S,MATCH($B27,'ETAPA OBRA'!$B:$B,0))="x",'ETAPA OBRA'!S$1&amp;", ","")&amp;
IF(INDEX('ETAPA OBRA'!T:T,MATCH($B27,'ETAPA OBRA'!$B:$B,0))="x",'ETAPA OBRA'!T$1&amp;", ","")&amp;
IF(INDEX('ETAPA OBRA'!U:U,MATCH($B27,'ETAPA OBRA'!$B:$B,0))="x",'ETAPA OBRA'!U$1&amp;", ","")
)-2),"")</f>
        <v>Paralisada</v>
      </c>
      <c r="N27" s="23" t="str">
        <f t="shared" si="0"/>
        <v>Paralisada</v>
      </c>
      <c r="O27" s="28">
        <v>38986.17</v>
      </c>
      <c r="P27" s="37">
        <f t="shared" si="1"/>
        <v>14474.720000000001</v>
      </c>
      <c r="Q27" s="28">
        <f t="shared" si="2"/>
        <v>24511.449999999997</v>
      </c>
      <c r="R27" s="29">
        <f t="shared" si="3"/>
        <v>0.628721672326366</v>
      </c>
      <c r="S27" s="23" t="str">
        <f t="shared" si="4"/>
        <v>✅ OK - Fechar Parceiro</v>
      </c>
      <c r="T27" s="23" t="str">
        <f>Cronograma[[#This Row],[STATUS]]</f>
        <v>⚠️ PARALISADO</v>
      </c>
    </row>
    <row r="28" spans="1:20" ht="14.4" x14ac:dyDescent="0.3">
      <c r="A28" s="23" t="s">
        <v>103</v>
      </c>
      <c r="B28" s="23" t="str">
        <f>IF(A28&lt;&gt;"","contel-"&amp;TEXT(COUNTA($A$2:A28),"00"),"")</f>
        <v>contel-27</v>
      </c>
      <c r="C28" s="23" t="s">
        <v>21</v>
      </c>
      <c r="D28" s="23" t="s">
        <v>96</v>
      </c>
      <c r="E28" s="23" t="s">
        <v>97</v>
      </c>
      <c r="F28" s="52" t="s">
        <v>104</v>
      </c>
      <c r="G28" s="23">
        <v>1712</v>
      </c>
      <c r="H28" s="24">
        <v>15836</v>
      </c>
      <c r="I28" s="23" t="s">
        <v>25</v>
      </c>
      <c r="J28" s="25">
        <f>SUM(EQUIPE!C28,EQUIPE!E28,EQUIPE!G28,EQUIPE!I28,EQUIPE!K28,EQUIPE!M28,EQUIPE!O28)</f>
        <v>6000</v>
      </c>
      <c r="K28" s="25">
        <v>5776.98</v>
      </c>
      <c r="L28" s="25">
        <v>1661.26</v>
      </c>
      <c r="M28" s="27" t="str">
        <f ca="1">IFERROR(LEFT(
IF(INDEX('ETAPA OBRA'!C:C,MATCH($B28,'ETAPA OBRA'!$B:$B,0))="x",'ETAPA OBRA'!C$1&amp;", ","")&amp;
IF(INDEX('ETAPA OBRA'!D:D,MATCH($B28,'ETAPA OBRA'!$B:$B,0))="x",'ETAPA OBRA'!D$1&amp;", ","")&amp;
IF(INDEX('ETAPA OBRA'!F:F,MATCH($B28,'ETAPA OBRA'!$B:$B,0))="x",'ETAPA OBRA'!F$1&amp;", ","")&amp;
IF(INDEX('ETAPA OBRA'!G:G,MATCH($B28,'ETAPA OBRA'!$B:$B,0))="x",'ETAPA OBRA'!G$1&amp;", ","")&amp;
IF(INDEX('ETAPA OBRA'!H:H,MATCH($B28,'ETAPA OBRA'!$B:$B,0))="x",'ETAPA OBRA'!H$1&amp;", ","")&amp;
IF(INDEX('ETAPA OBRA'!I:I,MATCH($B28,'ETAPA OBRA'!$B:$B,0))="x",'ETAPA OBRA'!I$1&amp;", ","")&amp;
IF(INDEX('ETAPA OBRA'!J:J,MATCH($B28,'ETAPA OBRA'!$B:$B,0))="x",'ETAPA OBRA'!J$1&amp;", ","")&amp;
IF(INDEX('ETAPA OBRA'!K:K,MATCH($B28,'ETAPA OBRA'!$B:$B,0))="x",'ETAPA OBRA'!K$1&amp;", ","")&amp;
IF(INDEX('ETAPA OBRA'!L:L,MATCH($B28,'ETAPA OBRA'!$B:$B,0))="x",'ETAPA OBRA'!L$1&amp;", ","")&amp;
IF(INDEX('ETAPA OBRA'!M:M,MATCH($B28,'ETAPA OBRA'!$B:$B,0))="x",'ETAPA OBRA'!M$1&amp;", ","")&amp;
IF(INDEX('ETAPA OBRA'!N:N,MATCH($B28,'ETAPA OBRA'!$B:$B,0))="x",'ETAPA OBRA'!N$1&amp;", ","")&amp;
IF(INDEX('ETAPA OBRA'!O:O,MATCH($B28,'ETAPA OBRA'!$B:$B,0))="x",'ETAPA OBRA'!O$1&amp;", ","")&amp;
IF(INDEX('ETAPA OBRA'!P:P,MATCH($B28,'ETAPA OBRA'!$B:$B,0))="x",'ETAPA OBRA'!P$1&amp;", ","")&amp;
IF(INDEX('ETAPA OBRA'!Q:Q,MATCH($B28,'ETAPA OBRA'!$B:$B,0))="x",'ETAPA OBRA'!Q$1&amp;", ","")&amp;
IF(INDEX('ETAPA OBRA'!R:R,MATCH($B28,'ETAPA OBRA'!$B:$B,0))="x",'ETAPA OBRA'!R$1&amp;", ","")&amp;
IF(INDEX('ETAPA OBRA'!S:S,MATCH($B28,'ETAPA OBRA'!$B:$B,0))="x",'ETAPA OBRA'!S$1&amp;", ","")&amp;
IF(INDEX('ETAPA OBRA'!T:T,MATCH($B28,'ETAPA OBRA'!$B:$B,0))="x",'ETAPA OBRA'!T$1&amp;", ","")&amp;
IF(INDEX('ETAPA OBRA'!U:U,MATCH($B28,'ETAPA OBRA'!$B:$B,0))="x",'ETAPA OBRA'!U$1&amp;", ",""),LEN(
IF(INDEX('ETAPA OBRA'!C:C,MATCH($B28,'ETAPA OBRA'!$B:$B,0))="x",'ETAPA OBRA'!C$1&amp;", ","")&amp;
IF(INDEX('ETAPA OBRA'!D:D,MATCH($B28,'ETAPA OBRA'!$B:$B,0))="x",'ETAPA OBRA'!D$1&amp;", ","")&amp;
IF(INDEX('ETAPA OBRA'!F:F,MATCH($B28,'ETAPA OBRA'!$B:$B,0))="x",'ETAPA OBRA'!F$1&amp;", ","")&amp;
IF(INDEX('ETAPA OBRA'!G:G,MATCH($B28,'ETAPA OBRA'!$B:$B,0))="x",'ETAPA OBRA'!G$1&amp;", ","")&amp;
IF(INDEX('ETAPA OBRA'!H:H,MATCH($B28,'ETAPA OBRA'!$B:$B,0))="x",'ETAPA OBRA'!H$1&amp;", ","")&amp;
IF(INDEX('ETAPA OBRA'!I:I,MATCH($B28,'ETAPA OBRA'!$B:$B,0))="x",'ETAPA OBRA'!I$1&amp;", ","")&amp;
IF(INDEX('ETAPA OBRA'!J:J,MATCH($B28,'ETAPA OBRA'!$B:$B,0))="x",'ETAPA OBRA'!J$1&amp;", ","")&amp;
IF(INDEX('ETAPA OBRA'!K:K,MATCH($B28,'ETAPA OBRA'!$B:$B,0))="x",'ETAPA OBRA'!K$1&amp;", ","")&amp;
IF(INDEX('ETAPA OBRA'!L:L,MATCH($B28,'ETAPA OBRA'!$B:$B,0))="x",'ETAPA OBRA'!L$1&amp;", ","")&amp;
IF(INDEX('ETAPA OBRA'!M:M,MATCH($B28,'ETAPA OBRA'!$B:$B,0))="x",'ETAPA OBRA'!M$1&amp;", ","")&amp;
IF(INDEX('ETAPA OBRA'!N:N,MATCH($B28,'ETAPA OBRA'!$B:$B,0))="x",'ETAPA OBRA'!N$1&amp;", ","")&amp;
IF(INDEX('ETAPA OBRA'!O:O,MATCH($B28,'ETAPA OBRA'!$B:$B,0))="x",'ETAPA OBRA'!O$1&amp;", ","")&amp;
IF(INDEX('ETAPA OBRA'!P:P,MATCH($B28,'ETAPA OBRA'!$B:$B,0))="x",'ETAPA OBRA'!P$1&amp;", ","")&amp;
IF(INDEX('ETAPA OBRA'!Q:Q,MATCH($B28,'ETAPA OBRA'!$B:$B,0))="x",'ETAPA OBRA'!Q$1&amp;", ","")&amp;
IF(INDEX('ETAPA OBRA'!R:R,MATCH($B28,'ETAPA OBRA'!$B:$B,0))="x",'ETAPA OBRA'!R$1&amp;", ","")&amp;
IF(INDEX('ETAPA OBRA'!S:S,MATCH($B28,'ETAPA OBRA'!$B:$B,0))="x",'ETAPA OBRA'!S$1&amp;", ","")&amp;
IF(INDEX('ETAPA OBRA'!T:T,MATCH($B28,'ETAPA OBRA'!$B:$B,0))="x",'ETAPA OBRA'!T$1&amp;", ","")&amp;
IF(INDEX('ETAPA OBRA'!U:U,MATCH($B28,'ETAPA OBRA'!$B:$B,0))="x",'ETAPA OBRA'!U$1&amp;", ","")
)-2),"")</f>
        <v xml:space="preserve">Envio RFI </v>
      </c>
      <c r="N28" s="23" t="str">
        <f t="shared" ca="1" si="0"/>
        <v>Em andamento</v>
      </c>
      <c r="O28" s="28">
        <v>35038.370000000003</v>
      </c>
      <c r="P28" s="37">
        <f t="shared" si="1"/>
        <v>13438.24</v>
      </c>
      <c r="Q28" s="28">
        <f t="shared" si="2"/>
        <v>21600.130000000005</v>
      </c>
      <c r="R28" s="29">
        <f t="shared" si="3"/>
        <v>0.61647074335935159</v>
      </c>
      <c r="S28" s="23" t="str">
        <f t="shared" si="4"/>
        <v>✅ OK - Fechar Parceiro</v>
      </c>
      <c r="T28" s="23" t="str">
        <f ca="1">Cronograma[[#This Row],[STATUS]]</f>
        <v>⏰ ATRASADO</v>
      </c>
    </row>
    <row r="29" spans="1:20" ht="14.4" x14ac:dyDescent="0.3">
      <c r="A29" s="23" t="s">
        <v>105</v>
      </c>
      <c r="B29" s="23" t="str">
        <f>IF(A29&lt;&gt;"","contel-"&amp;TEXT(COUNTA($A$2:A29),"00"),"")</f>
        <v>contel-28</v>
      </c>
      <c r="C29" s="23" t="s">
        <v>21</v>
      </c>
      <c r="D29" s="23" t="s">
        <v>106</v>
      </c>
      <c r="E29" s="23" t="s">
        <v>88</v>
      </c>
      <c r="F29" s="52" t="s">
        <v>107</v>
      </c>
      <c r="G29" s="23">
        <v>1721</v>
      </c>
      <c r="H29" s="24">
        <v>13533</v>
      </c>
      <c r="I29" s="23" t="s">
        <v>63</v>
      </c>
      <c r="J29" s="25">
        <f>SUM(EQUIPE!C29,EQUIPE!E29,EQUIPE!G29,EQUIPE!I29,EQUIPE!K29,EQUIPE!M29,EQUIPE!O29)</f>
        <v>5500</v>
      </c>
      <c r="K29" s="25">
        <v>2290</v>
      </c>
      <c r="L29" s="25">
        <v>1288.58</v>
      </c>
      <c r="M29" s="27" t="str">
        <f>IFERROR(LEFT(
IF(INDEX('ETAPA OBRA'!C:C,MATCH($B29,'ETAPA OBRA'!$B:$B,0))="x",'ETAPA OBRA'!C$1&amp;", ","")&amp;
IF(INDEX('ETAPA OBRA'!D:D,MATCH($B29,'ETAPA OBRA'!$B:$B,0))="x",'ETAPA OBRA'!D$1&amp;", ","")&amp;
IF(INDEX('ETAPA OBRA'!F:F,MATCH($B29,'ETAPA OBRA'!$B:$B,0))="x",'ETAPA OBRA'!F$1&amp;", ","")&amp;
IF(INDEX('ETAPA OBRA'!G:G,MATCH($B29,'ETAPA OBRA'!$B:$B,0))="x",'ETAPA OBRA'!G$1&amp;", ","")&amp;
IF(INDEX('ETAPA OBRA'!H:H,MATCH($B29,'ETAPA OBRA'!$B:$B,0))="x",'ETAPA OBRA'!H$1&amp;", ","")&amp;
IF(INDEX('ETAPA OBRA'!I:I,MATCH($B29,'ETAPA OBRA'!$B:$B,0))="x",'ETAPA OBRA'!I$1&amp;", ","")&amp;
IF(INDEX('ETAPA OBRA'!J:J,MATCH($B29,'ETAPA OBRA'!$B:$B,0))="x",'ETAPA OBRA'!J$1&amp;", ","")&amp;
IF(INDEX('ETAPA OBRA'!K:K,MATCH($B29,'ETAPA OBRA'!$B:$B,0))="x",'ETAPA OBRA'!K$1&amp;", ","")&amp;
IF(INDEX('ETAPA OBRA'!L:L,MATCH($B29,'ETAPA OBRA'!$B:$B,0))="x",'ETAPA OBRA'!L$1&amp;", ","")&amp;
IF(INDEX('ETAPA OBRA'!M:M,MATCH($B29,'ETAPA OBRA'!$B:$B,0))="x",'ETAPA OBRA'!M$1&amp;", ","")&amp;
IF(INDEX('ETAPA OBRA'!N:N,MATCH($B29,'ETAPA OBRA'!$B:$B,0))="x",'ETAPA OBRA'!N$1&amp;", ","")&amp;
IF(INDEX('ETAPA OBRA'!O:O,MATCH($B29,'ETAPA OBRA'!$B:$B,0))="x",'ETAPA OBRA'!O$1&amp;", ","")&amp;
IF(INDEX('ETAPA OBRA'!P:P,MATCH($B29,'ETAPA OBRA'!$B:$B,0))="x",'ETAPA OBRA'!P$1&amp;", ","")&amp;
IF(INDEX('ETAPA OBRA'!Q:Q,MATCH($B29,'ETAPA OBRA'!$B:$B,0))="x",'ETAPA OBRA'!Q$1&amp;", ","")&amp;
IF(INDEX('ETAPA OBRA'!R:R,MATCH($B29,'ETAPA OBRA'!$B:$B,0))="x",'ETAPA OBRA'!R$1&amp;", ","")&amp;
IF(INDEX('ETAPA OBRA'!S:S,MATCH($B29,'ETAPA OBRA'!$B:$B,0))="x",'ETAPA OBRA'!S$1&amp;", ","")&amp;
IF(INDEX('ETAPA OBRA'!T:T,MATCH($B29,'ETAPA OBRA'!$B:$B,0))="x",'ETAPA OBRA'!T$1&amp;", ","")&amp;
IF(INDEX('ETAPA OBRA'!U:U,MATCH($B29,'ETAPA OBRA'!$B:$B,0))="x",'ETAPA OBRA'!U$1&amp;", ",""),LEN(
IF(INDEX('ETAPA OBRA'!C:C,MATCH($B29,'ETAPA OBRA'!$B:$B,0))="x",'ETAPA OBRA'!C$1&amp;", ","")&amp;
IF(INDEX('ETAPA OBRA'!D:D,MATCH($B29,'ETAPA OBRA'!$B:$B,0))="x",'ETAPA OBRA'!D$1&amp;", ","")&amp;
IF(INDEX('ETAPA OBRA'!F:F,MATCH($B29,'ETAPA OBRA'!$B:$B,0))="x",'ETAPA OBRA'!F$1&amp;", ","")&amp;
IF(INDEX('ETAPA OBRA'!G:G,MATCH($B29,'ETAPA OBRA'!$B:$B,0))="x",'ETAPA OBRA'!G$1&amp;", ","")&amp;
IF(INDEX('ETAPA OBRA'!H:H,MATCH($B29,'ETAPA OBRA'!$B:$B,0))="x",'ETAPA OBRA'!H$1&amp;", ","")&amp;
IF(INDEX('ETAPA OBRA'!I:I,MATCH($B29,'ETAPA OBRA'!$B:$B,0))="x",'ETAPA OBRA'!I$1&amp;", ","")&amp;
IF(INDEX('ETAPA OBRA'!J:J,MATCH($B29,'ETAPA OBRA'!$B:$B,0))="x",'ETAPA OBRA'!J$1&amp;", ","")&amp;
IF(INDEX('ETAPA OBRA'!K:K,MATCH($B29,'ETAPA OBRA'!$B:$B,0))="x",'ETAPA OBRA'!K$1&amp;", ","")&amp;
IF(INDEX('ETAPA OBRA'!L:L,MATCH($B29,'ETAPA OBRA'!$B:$B,0))="x",'ETAPA OBRA'!L$1&amp;", ","")&amp;
IF(INDEX('ETAPA OBRA'!M:M,MATCH($B29,'ETAPA OBRA'!$B:$B,0))="x",'ETAPA OBRA'!M$1&amp;", ","")&amp;
IF(INDEX('ETAPA OBRA'!N:N,MATCH($B29,'ETAPA OBRA'!$B:$B,0))="x",'ETAPA OBRA'!N$1&amp;", ","")&amp;
IF(INDEX('ETAPA OBRA'!O:O,MATCH($B29,'ETAPA OBRA'!$B:$B,0))="x",'ETAPA OBRA'!O$1&amp;", ","")&amp;
IF(INDEX('ETAPA OBRA'!P:P,MATCH($B29,'ETAPA OBRA'!$B:$B,0))="x",'ETAPA OBRA'!P$1&amp;", ","")&amp;
IF(INDEX('ETAPA OBRA'!Q:Q,MATCH($B29,'ETAPA OBRA'!$B:$B,0))="x",'ETAPA OBRA'!Q$1&amp;", ","")&amp;
IF(INDEX('ETAPA OBRA'!R:R,MATCH($B29,'ETAPA OBRA'!$B:$B,0))="x",'ETAPA OBRA'!R$1&amp;", ","")&amp;
IF(INDEX('ETAPA OBRA'!S:S,MATCH($B29,'ETAPA OBRA'!$B:$B,0))="x",'ETAPA OBRA'!S$1&amp;", ","")&amp;
IF(INDEX('ETAPA OBRA'!T:T,MATCH($B29,'ETAPA OBRA'!$B:$B,0))="x",'ETAPA OBRA'!T$1&amp;", ","")&amp;
IF(INDEX('ETAPA OBRA'!U:U,MATCH($B29,'ETAPA OBRA'!$B:$B,0))="x",'ETAPA OBRA'!U$1&amp;", ","")
)-2),"")</f>
        <v>Finalizado</v>
      </c>
      <c r="N29" s="23" t="str">
        <f t="shared" si="0"/>
        <v>Finalizado</v>
      </c>
      <c r="O29" s="28">
        <v>21402.91</v>
      </c>
      <c r="P29" s="37">
        <f t="shared" si="1"/>
        <v>9078.58</v>
      </c>
      <c r="Q29" s="28">
        <f t="shared" si="2"/>
        <v>12324.33</v>
      </c>
      <c r="R29" s="29">
        <f t="shared" si="3"/>
        <v>0.57582496959525598</v>
      </c>
      <c r="S29" s="23" t="str">
        <f t="shared" si="4"/>
        <v>✅ OK - Fechar Parceiro</v>
      </c>
      <c r="T29" s="23" t="str">
        <f>Cronograma[[#This Row],[STATUS]]</f>
        <v>✅ CONCLUÍDO</v>
      </c>
    </row>
    <row r="30" spans="1:20" ht="14.4" x14ac:dyDescent="0.3">
      <c r="A30" s="23" t="s">
        <v>108</v>
      </c>
      <c r="B30" s="23" t="str">
        <f>IF(A30&lt;&gt;"","contel-"&amp;TEXT(COUNTA($A$2:A30),"00"),"")</f>
        <v>contel-29</v>
      </c>
      <c r="C30" s="23" t="s">
        <v>21</v>
      </c>
      <c r="D30" s="23" t="s">
        <v>96</v>
      </c>
      <c r="E30" s="23" t="s">
        <v>97</v>
      </c>
      <c r="F30" s="52" t="s">
        <v>109</v>
      </c>
      <c r="G30" s="23">
        <v>1722</v>
      </c>
      <c r="H30" s="24">
        <v>15838</v>
      </c>
      <c r="I30" s="23" t="s">
        <v>25</v>
      </c>
      <c r="J30" s="25">
        <f>SUM(EQUIPE!C30,EQUIPE!E30,EQUIPE!G30,EQUIPE!I30,EQUIPE!K30,EQUIPE!M30,EQUIPE!O30)</f>
        <v>0</v>
      </c>
      <c r="K30" s="25">
        <v>10808.4</v>
      </c>
      <c r="L30" s="25">
        <v>8917.75</v>
      </c>
      <c r="M30" s="27" t="str">
        <f>IFERROR(LEFT(
IF(INDEX('ETAPA OBRA'!C:C,MATCH($B30,'ETAPA OBRA'!$B:$B,0))="x",'ETAPA OBRA'!C$1&amp;", ","")&amp;
IF(INDEX('ETAPA OBRA'!D:D,MATCH($B30,'ETAPA OBRA'!$B:$B,0))="x",'ETAPA OBRA'!D$1&amp;", ","")&amp;
IF(INDEX('ETAPA OBRA'!F:F,MATCH($B30,'ETAPA OBRA'!$B:$B,0))="x",'ETAPA OBRA'!F$1&amp;", ","")&amp;
IF(INDEX('ETAPA OBRA'!G:G,MATCH($B30,'ETAPA OBRA'!$B:$B,0))="x",'ETAPA OBRA'!G$1&amp;", ","")&amp;
IF(INDEX('ETAPA OBRA'!H:H,MATCH($B30,'ETAPA OBRA'!$B:$B,0))="x",'ETAPA OBRA'!H$1&amp;", ","")&amp;
IF(INDEX('ETAPA OBRA'!I:I,MATCH($B30,'ETAPA OBRA'!$B:$B,0))="x",'ETAPA OBRA'!I$1&amp;", ","")&amp;
IF(INDEX('ETAPA OBRA'!J:J,MATCH($B30,'ETAPA OBRA'!$B:$B,0))="x",'ETAPA OBRA'!J$1&amp;", ","")&amp;
IF(INDEX('ETAPA OBRA'!K:K,MATCH($B30,'ETAPA OBRA'!$B:$B,0))="x",'ETAPA OBRA'!K$1&amp;", ","")&amp;
IF(INDEX('ETAPA OBRA'!L:L,MATCH($B30,'ETAPA OBRA'!$B:$B,0))="x",'ETAPA OBRA'!L$1&amp;", ","")&amp;
IF(INDEX('ETAPA OBRA'!M:M,MATCH($B30,'ETAPA OBRA'!$B:$B,0))="x",'ETAPA OBRA'!M$1&amp;", ","")&amp;
IF(INDEX('ETAPA OBRA'!N:N,MATCH($B30,'ETAPA OBRA'!$B:$B,0))="x",'ETAPA OBRA'!N$1&amp;", ","")&amp;
IF(INDEX('ETAPA OBRA'!O:O,MATCH($B30,'ETAPA OBRA'!$B:$B,0))="x",'ETAPA OBRA'!O$1&amp;", ","")&amp;
IF(INDEX('ETAPA OBRA'!P:P,MATCH($B30,'ETAPA OBRA'!$B:$B,0))="x",'ETAPA OBRA'!P$1&amp;", ","")&amp;
IF(INDEX('ETAPA OBRA'!Q:Q,MATCH($B30,'ETAPA OBRA'!$B:$B,0))="x",'ETAPA OBRA'!Q$1&amp;", ","")&amp;
IF(INDEX('ETAPA OBRA'!R:R,MATCH($B30,'ETAPA OBRA'!$B:$B,0))="x",'ETAPA OBRA'!R$1&amp;", ","")&amp;
IF(INDEX('ETAPA OBRA'!S:S,MATCH($B30,'ETAPA OBRA'!$B:$B,0))="x",'ETAPA OBRA'!S$1&amp;", ","")&amp;
IF(INDEX('ETAPA OBRA'!T:T,MATCH($B30,'ETAPA OBRA'!$B:$B,0))="x",'ETAPA OBRA'!T$1&amp;", ","")&amp;
IF(INDEX('ETAPA OBRA'!U:U,MATCH($B30,'ETAPA OBRA'!$B:$B,0))="x",'ETAPA OBRA'!U$1&amp;", ",""),LEN(
IF(INDEX('ETAPA OBRA'!C:C,MATCH($B30,'ETAPA OBRA'!$B:$B,0))="x",'ETAPA OBRA'!C$1&amp;", ","")&amp;
IF(INDEX('ETAPA OBRA'!D:D,MATCH($B30,'ETAPA OBRA'!$B:$B,0))="x",'ETAPA OBRA'!D$1&amp;", ","")&amp;
IF(INDEX('ETAPA OBRA'!F:F,MATCH($B30,'ETAPA OBRA'!$B:$B,0))="x",'ETAPA OBRA'!F$1&amp;", ","")&amp;
IF(INDEX('ETAPA OBRA'!G:G,MATCH($B30,'ETAPA OBRA'!$B:$B,0))="x",'ETAPA OBRA'!G$1&amp;", ","")&amp;
IF(INDEX('ETAPA OBRA'!H:H,MATCH($B30,'ETAPA OBRA'!$B:$B,0))="x",'ETAPA OBRA'!H$1&amp;", ","")&amp;
IF(INDEX('ETAPA OBRA'!I:I,MATCH($B30,'ETAPA OBRA'!$B:$B,0))="x",'ETAPA OBRA'!I$1&amp;", ","")&amp;
IF(INDEX('ETAPA OBRA'!J:J,MATCH($B30,'ETAPA OBRA'!$B:$B,0))="x",'ETAPA OBRA'!J$1&amp;", ","")&amp;
IF(INDEX('ETAPA OBRA'!K:K,MATCH($B30,'ETAPA OBRA'!$B:$B,0))="x",'ETAPA OBRA'!K$1&amp;", ","")&amp;
IF(INDEX('ETAPA OBRA'!L:L,MATCH($B30,'ETAPA OBRA'!$B:$B,0))="x",'ETAPA OBRA'!L$1&amp;", ","")&amp;
IF(INDEX('ETAPA OBRA'!M:M,MATCH($B30,'ETAPA OBRA'!$B:$B,0))="x",'ETAPA OBRA'!M$1&amp;", ","")&amp;
IF(INDEX('ETAPA OBRA'!N:N,MATCH($B30,'ETAPA OBRA'!$B:$B,0))="x",'ETAPA OBRA'!N$1&amp;", ","")&amp;
IF(INDEX('ETAPA OBRA'!O:O,MATCH($B30,'ETAPA OBRA'!$B:$B,0))="x",'ETAPA OBRA'!O$1&amp;", ","")&amp;
IF(INDEX('ETAPA OBRA'!P:P,MATCH($B30,'ETAPA OBRA'!$B:$B,0))="x",'ETAPA OBRA'!P$1&amp;", ","")&amp;
IF(INDEX('ETAPA OBRA'!Q:Q,MATCH($B30,'ETAPA OBRA'!$B:$B,0))="x",'ETAPA OBRA'!Q$1&amp;", ","")&amp;
IF(INDEX('ETAPA OBRA'!R:R,MATCH($B30,'ETAPA OBRA'!$B:$B,0))="x",'ETAPA OBRA'!R$1&amp;", ","")&amp;
IF(INDEX('ETAPA OBRA'!S:S,MATCH($B30,'ETAPA OBRA'!$B:$B,0))="x",'ETAPA OBRA'!S$1&amp;", ","")&amp;
IF(INDEX('ETAPA OBRA'!T:T,MATCH($B30,'ETAPA OBRA'!$B:$B,0))="x",'ETAPA OBRA'!T$1&amp;", ","")&amp;
IF(INDEX('ETAPA OBRA'!U:U,MATCH($B30,'ETAPA OBRA'!$B:$B,0))="x",'ETAPA OBRA'!U$1&amp;", ","")
)-2),"")</f>
        <v>Paralisada</v>
      </c>
      <c r="N30" s="23" t="str">
        <f t="shared" si="0"/>
        <v>Paralisada</v>
      </c>
      <c r="O30" s="28">
        <v>38986.17</v>
      </c>
      <c r="P30" s="37">
        <f t="shared" si="1"/>
        <v>19726.150000000001</v>
      </c>
      <c r="Q30" s="28">
        <f t="shared" si="2"/>
        <v>19260.019999999997</v>
      </c>
      <c r="R30" s="29">
        <f t="shared" si="3"/>
        <v>0.49402185441657892</v>
      </c>
      <c r="S30" s="23" t="str">
        <f t="shared" si="4"/>
        <v>✅ OK - Fechar Parceiro</v>
      </c>
      <c r="T30" s="23" t="str">
        <f>Cronograma[[#This Row],[STATUS]]</f>
        <v>⚠️ PARALISADO</v>
      </c>
    </row>
    <row r="31" spans="1:20" ht="14.4" x14ac:dyDescent="0.3">
      <c r="A31" s="23" t="s">
        <v>110</v>
      </c>
      <c r="B31" s="23" t="str">
        <f>IF(A31&lt;&gt;"","contel-"&amp;TEXT(COUNTA($A$2:A31),"00"),"")</f>
        <v>contel-30</v>
      </c>
      <c r="C31" s="23" t="s">
        <v>111</v>
      </c>
      <c r="D31" s="23" t="s">
        <v>112</v>
      </c>
      <c r="E31" s="23" t="s">
        <v>75</v>
      </c>
      <c r="F31" s="52" t="s">
        <v>113</v>
      </c>
      <c r="G31" s="23">
        <v>1723</v>
      </c>
      <c r="H31" s="24">
        <v>15324</v>
      </c>
      <c r="I31" s="23" t="s">
        <v>25</v>
      </c>
      <c r="J31" s="25">
        <f>SUM(EQUIPE!C31,EQUIPE!E31,EQUIPE!G31,EQUIPE!I31,EQUIPE!K31,EQUIPE!M31,EQUIPE!O31)</f>
        <v>0</v>
      </c>
      <c r="K31" s="25">
        <v>0</v>
      </c>
      <c r="L31" s="25">
        <v>80238.27</v>
      </c>
      <c r="M31" s="27" t="str">
        <f ca="1">IFERROR(LEFT(
IF(INDEX('ETAPA OBRA'!C:C,MATCH($B31,'ETAPA OBRA'!$B:$B,0))="x",'ETAPA OBRA'!C$1&amp;", ","")&amp;
IF(INDEX('ETAPA OBRA'!D:D,MATCH($B31,'ETAPA OBRA'!$B:$B,0))="x",'ETAPA OBRA'!D$1&amp;", ","")&amp;
IF(INDEX('ETAPA OBRA'!F:F,MATCH($B31,'ETAPA OBRA'!$B:$B,0))="x",'ETAPA OBRA'!F$1&amp;", ","")&amp;
IF(INDEX('ETAPA OBRA'!G:G,MATCH($B31,'ETAPA OBRA'!$B:$B,0))="x",'ETAPA OBRA'!G$1&amp;", ","")&amp;
IF(INDEX('ETAPA OBRA'!H:H,MATCH($B31,'ETAPA OBRA'!$B:$B,0))="x",'ETAPA OBRA'!H$1&amp;", ","")&amp;
IF(INDEX('ETAPA OBRA'!I:I,MATCH($B31,'ETAPA OBRA'!$B:$B,0))="x",'ETAPA OBRA'!I$1&amp;", ","")&amp;
IF(INDEX('ETAPA OBRA'!J:J,MATCH($B31,'ETAPA OBRA'!$B:$B,0))="x",'ETAPA OBRA'!J$1&amp;", ","")&amp;
IF(INDEX('ETAPA OBRA'!K:K,MATCH($B31,'ETAPA OBRA'!$B:$B,0))="x",'ETAPA OBRA'!K$1&amp;", ","")&amp;
IF(INDEX('ETAPA OBRA'!L:L,MATCH($B31,'ETAPA OBRA'!$B:$B,0))="x",'ETAPA OBRA'!L$1&amp;", ","")&amp;
IF(INDEX('ETAPA OBRA'!M:M,MATCH($B31,'ETAPA OBRA'!$B:$B,0))="x",'ETAPA OBRA'!M$1&amp;", ","")&amp;
IF(INDEX('ETAPA OBRA'!N:N,MATCH($B31,'ETAPA OBRA'!$B:$B,0))="x",'ETAPA OBRA'!N$1&amp;", ","")&amp;
IF(INDEX('ETAPA OBRA'!O:O,MATCH($B31,'ETAPA OBRA'!$B:$B,0))="x",'ETAPA OBRA'!O$1&amp;", ","")&amp;
IF(INDEX('ETAPA OBRA'!P:P,MATCH($B31,'ETAPA OBRA'!$B:$B,0))="x",'ETAPA OBRA'!P$1&amp;", ","")&amp;
IF(INDEX('ETAPA OBRA'!Q:Q,MATCH($B31,'ETAPA OBRA'!$B:$B,0))="x",'ETAPA OBRA'!Q$1&amp;", ","")&amp;
IF(INDEX('ETAPA OBRA'!R:R,MATCH($B31,'ETAPA OBRA'!$B:$B,0))="x",'ETAPA OBRA'!R$1&amp;", ","")&amp;
IF(INDEX('ETAPA OBRA'!S:S,MATCH($B31,'ETAPA OBRA'!$B:$B,0))="x",'ETAPA OBRA'!S$1&amp;", ","")&amp;
IF(INDEX('ETAPA OBRA'!T:T,MATCH($B31,'ETAPA OBRA'!$B:$B,0))="x",'ETAPA OBRA'!T$1&amp;", ","")&amp;
IF(INDEX('ETAPA OBRA'!U:U,MATCH($B31,'ETAPA OBRA'!$B:$B,0))="x",'ETAPA OBRA'!U$1&amp;", ",""),LEN(
IF(INDEX('ETAPA OBRA'!C:C,MATCH($B31,'ETAPA OBRA'!$B:$B,0))="x",'ETAPA OBRA'!C$1&amp;", ","")&amp;
IF(INDEX('ETAPA OBRA'!D:D,MATCH($B31,'ETAPA OBRA'!$B:$B,0))="x",'ETAPA OBRA'!D$1&amp;", ","")&amp;
IF(INDEX('ETAPA OBRA'!F:F,MATCH($B31,'ETAPA OBRA'!$B:$B,0))="x",'ETAPA OBRA'!F$1&amp;", ","")&amp;
IF(INDEX('ETAPA OBRA'!G:G,MATCH($B31,'ETAPA OBRA'!$B:$B,0))="x",'ETAPA OBRA'!G$1&amp;", ","")&amp;
IF(INDEX('ETAPA OBRA'!H:H,MATCH($B31,'ETAPA OBRA'!$B:$B,0))="x",'ETAPA OBRA'!H$1&amp;", ","")&amp;
IF(INDEX('ETAPA OBRA'!I:I,MATCH($B31,'ETAPA OBRA'!$B:$B,0))="x",'ETAPA OBRA'!I$1&amp;", ","")&amp;
IF(INDEX('ETAPA OBRA'!J:J,MATCH($B31,'ETAPA OBRA'!$B:$B,0))="x",'ETAPA OBRA'!J$1&amp;", ","")&amp;
IF(INDEX('ETAPA OBRA'!K:K,MATCH($B31,'ETAPA OBRA'!$B:$B,0))="x",'ETAPA OBRA'!K$1&amp;", ","")&amp;
IF(INDEX('ETAPA OBRA'!L:L,MATCH($B31,'ETAPA OBRA'!$B:$B,0))="x",'ETAPA OBRA'!L$1&amp;", ","")&amp;
IF(INDEX('ETAPA OBRA'!M:M,MATCH($B31,'ETAPA OBRA'!$B:$B,0))="x",'ETAPA OBRA'!M$1&amp;", ","")&amp;
IF(INDEX('ETAPA OBRA'!N:N,MATCH($B31,'ETAPA OBRA'!$B:$B,0))="x",'ETAPA OBRA'!N$1&amp;", ","")&amp;
IF(INDEX('ETAPA OBRA'!O:O,MATCH($B31,'ETAPA OBRA'!$B:$B,0))="x",'ETAPA OBRA'!O$1&amp;", ","")&amp;
IF(INDEX('ETAPA OBRA'!P:P,MATCH($B31,'ETAPA OBRA'!$B:$B,0))="x",'ETAPA OBRA'!P$1&amp;", ","")&amp;
IF(INDEX('ETAPA OBRA'!Q:Q,MATCH($B31,'ETAPA OBRA'!$B:$B,0))="x",'ETAPA OBRA'!Q$1&amp;", ","")&amp;
IF(INDEX('ETAPA OBRA'!R:R,MATCH($B31,'ETAPA OBRA'!$B:$B,0))="x",'ETAPA OBRA'!R$1&amp;", ","")&amp;
IF(INDEX('ETAPA OBRA'!S:S,MATCH($B31,'ETAPA OBRA'!$B:$B,0))="x",'ETAPA OBRA'!S$1&amp;", ","")&amp;
IF(INDEX('ETAPA OBRA'!T:T,MATCH($B31,'ETAPA OBRA'!$B:$B,0))="x",'ETAPA OBRA'!T$1&amp;", ","")&amp;
IF(INDEX('ETAPA OBRA'!U:U,MATCH($B31,'ETAPA OBRA'!$B:$B,0))="x",'ETAPA OBRA'!U$1&amp;", ","")
)-2),"")</f>
        <v>Pintura</v>
      </c>
      <c r="N31" s="23" t="str">
        <f t="shared" ca="1" si="0"/>
        <v>Em andamento</v>
      </c>
      <c r="O31" s="28">
        <v>390000</v>
      </c>
      <c r="P31" s="37">
        <f t="shared" si="1"/>
        <v>80238.27</v>
      </c>
      <c r="Q31" s="28">
        <f t="shared" si="2"/>
        <v>309761.73</v>
      </c>
      <c r="R31" s="29">
        <f t="shared" si="3"/>
        <v>0.79426084615384607</v>
      </c>
      <c r="S31" s="23" t="str">
        <f t="shared" si="4"/>
        <v>✅ OK - Fechar Parceiro</v>
      </c>
      <c r="T31" s="23" t="str">
        <f ca="1">Cronograma[[#This Row],[STATUS]]</f>
        <v>🕓 EM ANDAMENTO</v>
      </c>
    </row>
    <row r="32" spans="1:20" ht="14.4" x14ac:dyDescent="0.3">
      <c r="A32" s="23" t="s">
        <v>114</v>
      </c>
      <c r="B32" s="23" t="str">
        <f>IF(A32&lt;&gt;"","contel-"&amp;TEXT(COUNTA($A$2:A32),"00"),"")</f>
        <v>contel-31</v>
      </c>
      <c r="C32" s="23" t="s">
        <v>115</v>
      </c>
      <c r="D32" s="23" t="s">
        <v>116</v>
      </c>
      <c r="E32" s="23" t="s">
        <v>117</v>
      </c>
      <c r="F32" s="52" t="s">
        <v>118</v>
      </c>
      <c r="G32" s="23">
        <v>1724</v>
      </c>
      <c r="H32" s="24">
        <v>15338</v>
      </c>
      <c r="I32" s="23" t="s">
        <v>63</v>
      </c>
      <c r="J32" s="25">
        <f>SUM(EQUIPE!C32,EQUIPE!E32,EQUIPE!G32,EQUIPE!I32,EQUIPE!K32,EQUIPE!M32,EQUIPE!O32)</f>
        <v>5500</v>
      </c>
      <c r="K32" s="25">
        <v>0</v>
      </c>
      <c r="L32" s="25">
        <v>8374.6200000000008</v>
      </c>
      <c r="M32" s="27" t="str">
        <f>IFERROR(LEFT(
IF(INDEX('ETAPA OBRA'!C:C,MATCH($B32,'ETAPA OBRA'!$B:$B,0))="x",'ETAPA OBRA'!C$1&amp;", ","")&amp;
IF(INDEX('ETAPA OBRA'!D:D,MATCH($B32,'ETAPA OBRA'!$B:$B,0))="x",'ETAPA OBRA'!D$1&amp;", ","")&amp;
IF(INDEX('ETAPA OBRA'!F:F,MATCH($B32,'ETAPA OBRA'!$B:$B,0))="x",'ETAPA OBRA'!F$1&amp;", ","")&amp;
IF(INDEX('ETAPA OBRA'!G:G,MATCH($B32,'ETAPA OBRA'!$B:$B,0))="x",'ETAPA OBRA'!G$1&amp;", ","")&amp;
IF(INDEX('ETAPA OBRA'!H:H,MATCH($B32,'ETAPA OBRA'!$B:$B,0))="x",'ETAPA OBRA'!H$1&amp;", ","")&amp;
IF(INDEX('ETAPA OBRA'!I:I,MATCH($B32,'ETAPA OBRA'!$B:$B,0))="x",'ETAPA OBRA'!I$1&amp;", ","")&amp;
IF(INDEX('ETAPA OBRA'!J:J,MATCH($B32,'ETAPA OBRA'!$B:$B,0))="x",'ETAPA OBRA'!J$1&amp;", ","")&amp;
IF(INDEX('ETAPA OBRA'!K:K,MATCH($B32,'ETAPA OBRA'!$B:$B,0))="x",'ETAPA OBRA'!K$1&amp;", ","")&amp;
IF(INDEX('ETAPA OBRA'!L:L,MATCH($B32,'ETAPA OBRA'!$B:$B,0))="x",'ETAPA OBRA'!L$1&amp;", ","")&amp;
IF(INDEX('ETAPA OBRA'!M:M,MATCH($B32,'ETAPA OBRA'!$B:$B,0))="x",'ETAPA OBRA'!M$1&amp;", ","")&amp;
IF(INDEX('ETAPA OBRA'!N:N,MATCH($B32,'ETAPA OBRA'!$B:$B,0))="x",'ETAPA OBRA'!N$1&amp;", ","")&amp;
IF(INDEX('ETAPA OBRA'!O:O,MATCH($B32,'ETAPA OBRA'!$B:$B,0))="x",'ETAPA OBRA'!O$1&amp;", ","")&amp;
IF(INDEX('ETAPA OBRA'!P:P,MATCH($B32,'ETAPA OBRA'!$B:$B,0))="x",'ETAPA OBRA'!P$1&amp;", ","")&amp;
IF(INDEX('ETAPA OBRA'!Q:Q,MATCH($B32,'ETAPA OBRA'!$B:$B,0))="x",'ETAPA OBRA'!Q$1&amp;", ","")&amp;
IF(INDEX('ETAPA OBRA'!R:R,MATCH($B32,'ETAPA OBRA'!$B:$B,0))="x",'ETAPA OBRA'!R$1&amp;", ","")&amp;
IF(INDEX('ETAPA OBRA'!S:S,MATCH($B32,'ETAPA OBRA'!$B:$B,0))="x",'ETAPA OBRA'!S$1&amp;", ","")&amp;
IF(INDEX('ETAPA OBRA'!T:T,MATCH($B32,'ETAPA OBRA'!$B:$B,0))="x",'ETAPA OBRA'!T$1&amp;", ","")&amp;
IF(INDEX('ETAPA OBRA'!U:U,MATCH($B32,'ETAPA OBRA'!$B:$B,0))="x",'ETAPA OBRA'!U$1&amp;", ",""),LEN(
IF(INDEX('ETAPA OBRA'!C:C,MATCH($B32,'ETAPA OBRA'!$B:$B,0))="x",'ETAPA OBRA'!C$1&amp;", ","")&amp;
IF(INDEX('ETAPA OBRA'!D:D,MATCH($B32,'ETAPA OBRA'!$B:$B,0))="x",'ETAPA OBRA'!D$1&amp;", ","")&amp;
IF(INDEX('ETAPA OBRA'!F:F,MATCH($B32,'ETAPA OBRA'!$B:$B,0))="x",'ETAPA OBRA'!F$1&amp;", ","")&amp;
IF(INDEX('ETAPA OBRA'!G:G,MATCH($B32,'ETAPA OBRA'!$B:$B,0))="x",'ETAPA OBRA'!G$1&amp;", ","")&amp;
IF(INDEX('ETAPA OBRA'!H:H,MATCH($B32,'ETAPA OBRA'!$B:$B,0))="x",'ETAPA OBRA'!H$1&amp;", ","")&amp;
IF(INDEX('ETAPA OBRA'!I:I,MATCH($B32,'ETAPA OBRA'!$B:$B,0))="x",'ETAPA OBRA'!I$1&amp;", ","")&amp;
IF(INDEX('ETAPA OBRA'!J:J,MATCH($B32,'ETAPA OBRA'!$B:$B,0))="x",'ETAPA OBRA'!J$1&amp;", ","")&amp;
IF(INDEX('ETAPA OBRA'!K:K,MATCH($B32,'ETAPA OBRA'!$B:$B,0))="x",'ETAPA OBRA'!K$1&amp;", ","")&amp;
IF(INDEX('ETAPA OBRA'!L:L,MATCH($B32,'ETAPA OBRA'!$B:$B,0))="x",'ETAPA OBRA'!L$1&amp;", ","")&amp;
IF(INDEX('ETAPA OBRA'!M:M,MATCH($B32,'ETAPA OBRA'!$B:$B,0))="x",'ETAPA OBRA'!M$1&amp;", ","")&amp;
IF(INDEX('ETAPA OBRA'!N:N,MATCH($B32,'ETAPA OBRA'!$B:$B,0))="x",'ETAPA OBRA'!N$1&amp;", ","")&amp;
IF(INDEX('ETAPA OBRA'!O:O,MATCH($B32,'ETAPA OBRA'!$B:$B,0))="x",'ETAPA OBRA'!O$1&amp;", ","")&amp;
IF(INDEX('ETAPA OBRA'!P:P,MATCH($B32,'ETAPA OBRA'!$B:$B,0))="x",'ETAPA OBRA'!P$1&amp;", ","")&amp;
IF(INDEX('ETAPA OBRA'!Q:Q,MATCH($B32,'ETAPA OBRA'!$B:$B,0))="x",'ETAPA OBRA'!Q$1&amp;", ","")&amp;
IF(INDEX('ETAPA OBRA'!R:R,MATCH($B32,'ETAPA OBRA'!$B:$B,0))="x",'ETAPA OBRA'!R$1&amp;", ","")&amp;
IF(INDEX('ETAPA OBRA'!S:S,MATCH($B32,'ETAPA OBRA'!$B:$B,0))="x",'ETAPA OBRA'!S$1&amp;", ","")&amp;
IF(INDEX('ETAPA OBRA'!T:T,MATCH($B32,'ETAPA OBRA'!$B:$B,0))="x",'ETAPA OBRA'!T$1&amp;", ","")&amp;
IF(INDEX('ETAPA OBRA'!U:U,MATCH($B32,'ETAPA OBRA'!$B:$B,0))="x",'ETAPA OBRA'!U$1&amp;", ","")
)-2),"")</f>
        <v>Finalizado</v>
      </c>
      <c r="N32" s="23" t="str">
        <f t="shared" si="0"/>
        <v>Finalizado</v>
      </c>
      <c r="O32" s="28">
        <v>27452.37</v>
      </c>
      <c r="P32" s="37">
        <f t="shared" si="1"/>
        <v>13874.62</v>
      </c>
      <c r="Q32" s="28">
        <f t="shared" si="2"/>
        <v>13577.749999999998</v>
      </c>
      <c r="R32" s="29">
        <f t="shared" si="3"/>
        <v>0.49459299871012952</v>
      </c>
      <c r="S32" s="23" t="str">
        <f t="shared" si="4"/>
        <v>✅ OK - Fechar Parceiro</v>
      </c>
      <c r="T32" s="23" t="str">
        <f>Cronograma[[#This Row],[STATUS]]</f>
        <v>✅ CONCLUÍDO</v>
      </c>
    </row>
    <row r="33" spans="1:20" ht="14.4" x14ac:dyDescent="0.3">
      <c r="A33" s="23" t="s">
        <v>119</v>
      </c>
      <c r="B33" s="23" t="str">
        <f>IF(A33&lt;&gt;"","contel-"&amp;TEXT(COUNTA($A$2:A33),"00"),"")</f>
        <v>contel-32</v>
      </c>
      <c r="C33" s="23" t="s">
        <v>120</v>
      </c>
      <c r="D33" s="23" t="s">
        <v>121</v>
      </c>
      <c r="E33" s="23" t="s">
        <v>75</v>
      </c>
      <c r="F33" s="52" t="s">
        <v>122</v>
      </c>
      <c r="G33" s="23">
        <v>1726</v>
      </c>
      <c r="H33" s="24">
        <v>12737</v>
      </c>
      <c r="I33" s="23" t="s">
        <v>34</v>
      </c>
      <c r="J33" s="25">
        <f>SUM(EQUIPE!C33,EQUIPE!E33,EQUIPE!G33,EQUIPE!I33,EQUIPE!K33,EQUIPE!M33,EQUIPE!O33)</f>
        <v>22200</v>
      </c>
      <c r="K33" s="25">
        <v>0</v>
      </c>
      <c r="L33" s="25">
        <v>0</v>
      </c>
      <c r="M33" s="27" t="str">
        <f>IFERROR(LEFT(
IF(INDEX('ETAPA OBRA'!C:C,MATCH($B33,'ETAPA OBRA'!$B:$B,0))="x",'ETAPA OBRA'!C$1&amp;", ","")&amp;
IF(INDEX('ETAPA OBRA'!D:D,MATCH($B33,'ETAPA OBRA'!$B:$B,0))="x",'ETAPA OBRA'!D$1&amp;", ","")&amp;
IF(INDEX('ETAPA OBRA'!F:F,MATCH($B33,'ETAPA OBRA'!$B:$B,0))="x",'ETAPA OBRA'!F$1&amp;", ","")&amp;
IF(INDEX('ETAPA OBRA'!G:G,MATCH($B33,'ETAPA OBRA'!$B:$B,0))="x",'ETAPA OBRA'!G$1&amp;", ","")&amp;
IF(INDEX('ETAPA OBRA'!H:H,MATCH($B33,'ETAPA OBRA'!$B:$B,0))="x",'ETAPA OBRA'!H$1&amp;", ","")&amp;
IF(INDEX('ETAPA OBRA'!I:I,MATCH($B33,'ETAPA OBRA'!$B:$B,0))="x",'ETAPA OBRA'!I$1&amp;", ","")&amp;
IF(INDEX('ETAPA OBRA'!J:J,MATCH($B33,'ETAPA OBRA'!$B:$B,0))="x",'ETAPA OBRA'!J$1&amp;", ","")&amp;
IF(INDEX('ETAPA OBRA'!K:K,MATCH($B33,'ETAPA OBRA'!$B:$B,0))="x",'ETAPA OBRA'!K$1&amp;", ","")&amp;
IF(INDEX('ETAPA OBRA'!L:L,MATCH($B33,'ETAPA OBRA'!$B:$B,0))="x",'ETAPA OBRA'!L$1&amp;", ","")&amp;
IF(INDEX('ETAPA OBRA'!M:M,MATCH($B33,'ETAPA OBRA'!$B:$B,0))="x",'ETAPA OBRA'!M$1&amp;", ","")&amp;
IF(INDEX('ETAPA OBRA'!N:N,MATCH($B33,'ETAPA OBRA'!$B:$B,0))="x",'ETAPA OBRA'!N$1&amp;", ","")&amp;
IF(INDEX('ETAPA OBRA'!O:O,MATCH($B33,'ETAPA OBRA'!$B:$B,0))="x",'ETAPA OBRA'!O$1&amp;", ","")&amp;
IF(INDEX('ETAPA OBRA'!P:P,MATCH($B33,'ETAPA OBRA'!$B:$B,0))="x",'ETAPA OBRA'!P$1&amp;", ","")&amp;
IF(INDEX('ETAPA OBRA'!Q:Q,MATCH($B33,'ETAPA OBRA'!$B:$B,0))="x",'ETAPA OBRA'!Q$1&amp;", ","")&amp;
IF(INDEX('ETAPA OBRA'!R:R,MATCH($B33,'ETAPA OBRA'!$B:$B,0))="x",'ETAPA OBRA'!R$1&amp;", ","")&amp;
IF(INDEX('ETAPA OBRA'!S:S,MATCH($B33,'ETAPA OBRA'!$B:$B,0))="x",'ETAPA OBRA'!S$1&amp;", ","")&amp;
IF(INDEX('ETAPA OBRA'!T:T,MATCH($B33,'ETAPA OBRA'!$B:$B,0))="x",'ETAPA OBRA'!T$1&amp;", ","")&amp;
IF(INDEX('ETAPA OBRA'!U:U,MATCH($B33,'ETAPA OBRA'!$B:$B,0))="x",'ETAPA OBRA'!U$1&amp;", ",""),LEN(
IF(INDEX('ETAPA OBRA'!C:C,MATCH($B33,'ETAPA OBRA'!$B:$B,0))="x",'ETAPA OBRA'!C$1&amp;", ","")&amp;
IF(INDEX('ETAPA OBRA'!D:D,MATCH($B33,'ETAPA OBRA'!$B:$B,0))="x",'ETAPA OBRA'!D$1&amp;", ","")&amp;
IF(INDEX('ETAPA OBRA'!F:F,MATCH($B33,'ETAPA OBRA'!$B:$B,0))="x",'ETAPA OBRA'!F$1&amp;", ","")&amp;
IF(INDEX('ETAPA OBRA'!G:G,MATCH($B33,'ETAPA OBRA'!$B:$B,0))="x",'ETAPA OBRA'!G$1&amp;", ","")&amp;
IF(INDEX('ETAPA OBRA'!H:H,MATCH($B33,'ETAPA OBRA'!$B:$B,0))="x",'ETAPA OBRA'!H$1&amp;", ","")&amp;
IF(INDEX('ETAPA OBRA'!I:I,MATCH($B33,'ETAPA OBRA'!$B:$B,0))="x",'ETAPA OBRA'!I$1&amp;", ","")&amp;
IF(INDEX('ETAPA OBRA'!J:J,MATCH($B33,'ETAPA OBRA'!$B:$B,0))="x",'ETAPA OBRA'!J$1&amp;", ","")&amp;
IF(INDEX('ETAPA OBRA'!K:K,MATCH($B33,'ETAPA OBRA'!$B:$B,0))="x",'ETAPA OBRA'!K$1&amp;", ","")&amp;
IF(INDEX('ETAPA OBRA'!L:L,MATCH($B33,'ETAPA OBRA'!$B:$B,0))="x",'ETAPA OBRA'!L$1&amp;", ","")&amp;
IF(INDEX('ETAPA OBRA'!M:M,MATCH($B33,'ETAPA OBRA'!$B:$B,0))="x",'ETAPA OBRA'!M$1&amp;", ","")&amp;
IF(INDEX('ETAPA OBRA'!N:N,MATCH($B33,'ETAPA OBRA'!$B:$B,0))="x",'ETAPA OBRA'!N$1&amp;", ","")&amp;
IF(INDEX('ETAPA OBRA'!O:O,MATCH($B33,'ETAPA OBRA'!$B:$B,0))="x",'ETAPA OBRA'!O$1&amp;", ","")&amp;
IF(INDEX('ETAPA OBRA'!P:P,MATCH($B33,'ETAPA OBRA'!$B:$B,0))="x",'ETAPA OBRA'!P$1&amp;", ","")&amp;
IF(INDEX('ETAPA OBRA'!Q:Q,MATCH($B33,'ETAPA OBRA'!$B:$B,0))="x",'ETAPA OBRA'!Q$1&amp;", ","")&amp;
IF(INDEX('ETAPA OBRA'!R:R,MATCH($B33,'ETAPA OBRA'!$B:$B,0))="x",'ETAPA OBRA'!R$1&amp;", ","")&amp;
IF(INDEX('ETAPA OBRA'!S:S,MATCH($B33,'ETAPA OBRA'!$B:$B,0))="x",'ETAPA OBRA'!S$1&amp;", ","")&amp;
IF(INDEX('ETAPA OBRA'!T:T,MATCH($B33,'ETAPA OBRA'!$B:$B,0))="x",'ETAPA OBRA'!T$1&amp;", ","")&amp;
IF(INDEX('ETAPA OBRA'!U:U,MATCH($B33,'ETAPA OBRA'!$B:$B,0))="x",'ETAPA OBRA'!U$1&amp;", ","")
)-2),"")</f>
        <v>Finalizado</v>
      </c>
      <c r="N33" s="23" t="str">
        <f t="shared" si="0"/>
        <v>Finalizado</v>
      </c>
      <c r="O33" s="28">
        <v>45938</v>
      </c>
      <c r="P33" s="37">
        <f t="shared" si="1"/>
        <v>22200</v>
      </c>
      <c r="Q33" s="28">
        <f t="shared" si="2"/>
        <v>23738</v>
      </c>
      <c r="R33" s="29">
        <f t="shared" si="3"/>
        <v>0.51673995385084248</v>
      </c>
      <c r="S33" s="23" t="str">
        <f t="shared" si="4"/>
        <v>✅ OK - Fechar Parceiro</v>
      </c>
      <c r="T33" s="23" t="str">
        <f>Cronograma[[#This Row],[STATUS]]</f>
        <v>✅ CONCLUÍDO</v>
      </c>
    </row>
    <row r="34" spans="1:20" ht="14.4" x14ac:dyDescent="0.3">
      <c r="A34" s="23" t="s">
        <v>123</v>
      </c>
      <c r="B34" s="23" t="str">
        <f>IF(A34&lt;&gt;"","contel-"&amp;TEXT(COUNTA($A$2:A34),"00"),"")</f>
        <v>contel-33</v>
      </c>
      <c r="C34" s="23" t="s">
        <v>78</v>
      </c>
      <c r="D34" s="23" t="s">
        <v>124</v>
      </c>
      <c r="E34" s="23" t="s">
        <v>125</v>
      </c>
      <c r="F34" s="52" t="s">
        <v>126</v>
      </c>
      <c r="G34" s="23">
        <v>1730</v>
      </c>
      <c r="H34" s="24">
        <v>15833</v>
      </c>
      <c r="I34" s="23" t="s">
        <v>63</v>
      </c>
      <c r="J34" s="25">
        <f>SUM(EQUIPE!C34,EQUIPE!E34,EQUIPE!G34,EQUIPE!I34,EQUIPE!K34,EQUIPE!M34,EQUIPE!O34)</f>
        <v>14500</v>
      </c>
      <c r="K34" s="25">
        <v>13226.49</v>
      </c>
      <c r="L34" s="25">
        <v>5278.75</v>
      </c>
      <c r="M34" s="27" t="str">
        <f>IFERROR(LEFT(
IF(INDEX('ETAPA OBRA'!C:C,MATCH($B34,'ETAPA OBRA'!$B:$B,0))="x",'ETAPA OBRA'!C$1&amp;", ","")&amp;
IF(INDEX('ETAPA OBRA'!D:D,MATCH($B34,'ETAPA OBRA'!$B:$B,0))="x",'ETAPA OBRA'!D$1&amp;", ","")&amp;
IF(INDEX('ETAPA OBRA'!F:F,MATCH($B34,'ETAPA OBRA'!$B:$B,0))="x",'ETAPA OBRA'!F$1&amp;", ","")&amp;
IF(INDEX('ETAPA OBRA'!G:G,MATCH($B34,'ETAPA OBRA'!$B:$B,0))="x",'ETAPA OBRA'!G$1&amp;", ","")&amp;
IF(INDEX('ETAPA OBRA'!H:H,MATCH($B34,'ETAPA OBRA'!$B:$B,0))="x",'ETAPA OBRA'!H$1&amp;", ","")&amp;
IF(INDEX('ETAPA OBRA'!I:I,MATCH($B34,'ETAPA OBRA'!$B:$B,0))="x",'ETAPA OBRA'!I$1&amp;", ","")&amp;
IF(INDEX('ETAPA OBRA'!J:J,MATCH($B34,'ETAPA OBRA'!$B:$B,0))="x",'ETAPA OBRA'!J$1&amp;", ","")&amp;
IF(INDEX('ETAPA OBRA'!K:K,MATCH($B34,'ETAPA OBRA'!$B:$B,0))="x",'ETAPA OBRA'!K$1&amp;", ","")&amp;
IF(INDEX('ETAPA OBRA'!L:L,MATCH($B34,'ETAPA OBRA'!$B:$B,0))="x",'ETAPA OBRA'!L$1&amp;", ","")&amp;
IF(INDEX('ETAPA OBRA'!M:M,MATCH($B34,'ETAPA OBRA'!$B:$B,0))="x",'ETAPA OBRA'!M$1&amp;", ","")&amp;
IF(INDEX('ETAPA OBRA'!N:N,MATCH($B34,'ETAPA OBRA'!$B:$B,0))="x",'ETAPA OBRA'!N$1&amp;", ","")&amp;
IF(INDEX('ETAPA OBRA'!O:O,MATCH($B34,'ETAPA OBRA'!$B:$B,0))="x",'ETAPA OBRA'!O$1&amp;", ","")&amp;
IF(INDEX('ETAPA OBRA'!P:P,MATCH($B34,'ETAPA OBRA'!$B:$B,0))="x",'ETAPA OBRA'!P$1&amp;", ","")&amp;
IF(INDEX('ETAPA OBRA'!Q:Q,MATCH($B34,'ETAPA OBRA'!$B:$B,0))="x",'ETAPA OBRA'!Q$1&amp;", ","")&amp;
IF(INDEX('ETAPA OBRA'!R:R,MATCH($B34,'ETAPA OBRA'!$B:$B,0))="x",'ETAPA OBRA'!R$1&amp;", ","")&amp;
IF(INDEX('ETAPA OBRA'!S:S,MATCH($B34,'ETAPA OBRA'!$B:$B,0))="x",'ETAPA OBRA'!S$1&amp;", ","")&amp;
IF(INDEX('ETAPA OBRA'!T:T,MATCH($B34,'ETAPA OBRA'!$B:$B,0))="x",'ETAPA OBRA'!T$1&amp;", ","")&amp;
IF(INDEX('ETAPA OBRA'!U:U,MATCH($B34,'ETAPA OBRA'!$B:$B,0))="x",'ETAPA OBRA'!U$1&amp;", ",""),LEN(
IF(INDEX('ETAPA OBRA'!C:C,MATCH($B34,'ETAPA OBRA'!$B:$B,0))="x",'ETAPA OBRA'!C$1&amp;", ","")&amp;
IF(INDEX('ETAPA OBRA'!D:D,MATCH($B34,'ETAPA OBRA'!$B:$B,0))="x",'ETAPA OBRA'!D$1&amp;", ","")&amp;
IF(INDEX('ETAPA OBRA'!F:F,MATCH($B34,'ETAPA OBRA'!$B:$B,0))="x",'ETAPA OBRA'!F$1&amp;", ","")&amp;
IF(INDEX('ETAPA OBRA'!G:G,MATCH($B34,'ETAPA OBRA'!$B:$B,0))="x",'ETAPA OBRA'!G$1&amp;", ","")&amp;
IF(INDEX('ETAPA OBRA'!H:H,MATCH($B34,'ETAPA OBRA'!$B:$B,0))="x",'ETAPA OBRA'!H$1&amp;", ","")&amp;
IF(INDEX('ETAPA OBRA'!I:I,MATCH($B34,'ETAPA OBRA'!$B:$B,0))="x",'ETAPA OBRA'!I$1&amp;", ","")&amp;
IF(INDEX('ETAPA OBRA'!J:J,MATCH($B34,'ETAPA OBRA'!$B:$B,0))="x",'ETAPA OBRA'!J$1&amp;", ","")&amp;
IF(INDEX('ETAPA OBRA'!K:K,MATCH($B34,'ETAPA OBRA'!$B:$B,0))="x",'ETAPA OBRA'!K$1&amp;", ","")&amp;
IF(INDEX('ETAPA OBRA'!L:L,MATCH($B34,'ETAPA OBRA'!$B:$B,0))="x",'ETAPA OBRA'!L$1&amp;", ","")&amp;
IF(INDEX('ETAPA OBRA'!M:M,MATCH($B34,'ETAPA OBRA'!$B:$B,0))="x",'ETAPA OBRA'!M$1&amp;", ","")&amp;
IF(INDEX('ETAPA OBRA'!N:N,MATCH($B34,'ETAPA OBRA'!$B:$B,0))="x",'ETAPA OBRA'!N$1&amp;", ","")&amp;
IF(INDEX('ETAPA OBRA'!O:O,MATCH($B34,'ETAPA OBRA'!$B:$B,0))="x",'ETAPA OBRA'!O$1&amp;", ","")&amp;
IF(INDEX('ETAPA OBRA'!P:P,MATCH($B34,'ETAPA OBRA'!$B:$B,0))="x",'ETAPA OBRA'!P$1&amp;", ","")&amp;
IF(INDEX('ETAPA OBRA'!Q:Q,MATCH($B34,'ETAPA OBRA'!$B:$B,0))="x",'ETAPA OBRA'!Q$1&amp;", ","")&amp;
IF(INDEX('ETAPA OBRA'!R:R,MATCH($B34,'ETAPA OBRA'!$B:$B,0))="x",'ETAPA OBRA'!R$1&amp;", ","")&amp;
IF(INDEX('ETAPA OBRA'!S:S,MATCH($B34,'ETAPA OBRA'!$B:$B,0))="x",'ETAPA OBRA'!S$1&amp;", ","")&amp;
IF(INDEX('ETAPA OBRA'!T:T,MATCH($B34,'ETAPA OBRA'!$B:$B,0))="x",'ETAPA OBRA'!T$1&amp;", ","")&amp;
IF(INDEX('ETAPA OBRA'!U:U,MATCH($B34,'ETAPA OBRA'!$B:$B,0))="x",'ETAPA OBRA'!U$1&amp;", ","")
)-2),"")</f>
        <v>Homologação</v>
      </c>
      <c r="N34" s="23" t="str">
        <f t="shared" ref="N34:N65" si="5">IF(M34="","Não iniciada",
IF(ISNUMBER(FIND("Cancelada",M34)),"Cancelada",
IF(ISNUMBER(FIND("Paralisada",M34)),"Paralisada",
IF(ISNUMBER(FIND("Finalizado",M34)),"Finalizado",
"Em andamento"))))</f>
        <v>Em andamento</v>
      </c>
      <c r="O34" s="28">
        <v>72960.25</v>
      </c>
      <c r="P34" s="37">
        <f t="shared" si="1"/>
        <v>33005.24</v>
      </c>
      <c r="Q34" s="28">
        <f t="shared" ref="Q34:Q65" si="6">O34-P34</f>
        <v>39955.01</v>
      </c>
      <c r="R34" s="29">
        <f t="shared" ref="R34:R65" si="7">IF(O34=0,0,Q34/O34)</f>
        <v>0.54762709831723444</v>
      </c>
      <c r="S34" s="23" t="str">
        <f t="shared" ref="S34:S65" si="8">IF(R34&gt;=0.2,"✅ OK - Fechar Parceiro","⚠️ Ajustar Custos (&lt;20%)")</f>
        <v>✅ OK - Fechar Parceiro</v>
      </c>
      <c r="T34" s="23" t="str">
        <f>Cronograma[[#This Row],[STATUS]]</f>
        <v>⚠️ PARALISADO</v>
      </c>
    </row>
    <row r="35" spans="1:20" ht="14.4" x14ac:dyDescent="0.3">
      <c r="A35" s="23" t="s">
        <v>127</v>
      </c>
      <c r="B35" s="23" t="str">
        <f>IF(A35&lt;&gt;"","contel-"&amp;TEXT(COUNTA($A$2:A35),"00"),"")</f>
        <v>contel-34</v>
      </c>
      <c r="C35" s="23" t="s">
        <v>21</v>
      </c>
      <c r="D35" s="23" t="s">
        <v>128</v>
      </c>
      <c r="E35" s="23" t="s">
        <v>93</v>
      </c>
      <c r="F35" s="52" t="s">
        <v>129</v>
      </c>
      <c r="G35" s="23">
        <v>1736</v>
      </c>
      <c r="H35" s="24">
        <v>15864</v>
      </c>
      <c r="I35" s="23" t="s">
        <v>90</v>
      </c>
      <c r="J35" s="25">
        <f>SUM(EQUIPE!C35,EQUIPE!E35,EQUIPE!G35,EQUIPE!I35,EQUIPE!K35,EQUIPE!M35,EQUIPE!O35)</f>
        <v>9500</v>
      </c>
      <c r="K35" s="25">
        <v>1907.5</v>
      </c>
      <c r="L35" s="25">
        <v>1366.03</v>
      </c>
      <c r="M35" s="27" t="str">
        <f>IFERROR(LEFT(
IF(INDEX('ETAPA OBRA'!C:C,MATCH($B35,'ETAPA OBRA'!$B:$B,0))="x",'ETAPA OBRA'!C$1&amp;", ","")&amp;
IF(INDEX('ETAPA OBRA'!D:D,MATCH($B35,'ETAPA OBRA'!$B:$B,0))="x",'ETAPA OBRA'!D$1&amp;", ","")&amp;
IF(INDEX('ETAPA OBRA'!F:F,MATCH($B35,'ETAPA OBRA'!$B:$B,0))="x",'ETAPA OBRA'!F$1&amp;", ","")&amp;
IF(INDEX('ETAPA OBRA'!G:G,MATCH($B35,'ETAPA OBRA'!$B:$B,0))="x",'ETAPA OBRA'!G$1&amp;", ","")&amp;
IF(INDEX('ETAPA OBRA'!H:H,MATCH($B35,'ETAPA OBRA'!$B:$B,0))="x",'ETAPA OBRA'!H$1&amp;", ","")&amp;
IF(INDEX('ETAPA OBRA'!I:I,MATCH($B35,'ETAPA OBRA'!$B:$B,0))="x",'ETAPA OBRA'!I$1&amp;", ","")&amp;
IF(INDEX('ETAPA OBRA'!J:J,MATCH($B35,'ETAPA OBRA'!$B:$B,0))="x",'ETAPA OBRA'!J$1&amp;", ","")&amp;
IF(INDEX('ETAPA OBRA'!K:K,MATCH($B35,'ETAPA OBRA'!$B:$B,0))="x",'ETAPA OBRA'!K$1&amp;", ","")&amp;
IF(INDEX('ETAPA OBRA'!L:L,MATCH($B35,'ETAPA OBRA'!$B:$B,0))="x",'ETAPA OBRA'!L$1&amp;", ","")&amp;
IF(INDEX('ETAPA OBRA'!M:M,MATCH($B35,'ETAPA OBRA'!$B:$B,0))="x",'ETAPA OBRA'!M$1&amp;", ","")&amp;
IF(INDEX('ETAPA OBRA'!N:N,MATCH($B35,'ETAPA OBRA'!$B:$B,0))="x",'ETAPA OBRA'!N$1&amp;", ","")&amp;
IF(INDEX('ETAPA OBRA'!O:O,MATCH($B35,'ETAPA OBRA'!$B:$B,0))="x",'ETAPA OBRA'!O$1&amp;", ","")&amp;
IF(INDEX('ETAPA OBRA'!P:P,MATCH($B35,'ETAPA OBRA'!$B:$B,0))="x",'ETAPA OBRA'!P$1&amp;", ","")&amp;
IF(INDEX('ETAPA OBRA'!Q:Q,MATCH($B35,'ETAPA OBRA'!$B:$B,0))="x",'ETAPA OBRA'!Q$1&amp;", ","")&amp;
IF(INDEX('ETAPA OBRA'!R:R,MATCH($B35,'ETAPA OBRA'!$B:$B,0))="x",'ETAPA OBRA'!R$1&amp;", ","")&amp;
IF(INDEX('ETAPA OBRA'!S:S,MATCH($B35,'ETAPA OBRA'!$B:$B,0))="x",'ETAPA OBRA'!S$1&amp;", ","")&amp;
IF(INDEX('ETAPA OBRA'!T:T,MATCH($B35,'ETAPA OBRA'!$B:$B,0))="x",'ETAPA OBRA'!T$1&amp;", ","")&amp;
IF(INDEX('ETAPA OBRA'!U:U,MATCH($B35,'ETAPA OBRA'!$B:$B,0))="x",'ETAPA OBRA'!U$1&amp;", ",""),LEN(
IF(INDEX('ETAPA OBRA'!C:C,MATCH($B35,'ETAPA OBRA'!$B:$B,0))="x",'ETAPA OBRA'!C$1&amp;", ","")&amp;
IF(INDEX('ETAPA OBRA'!D:D,MATCH($B35,'ETAPA OBRA'!$B:$B,0))="x",'ETAPA OBRA'!D$1&amp;", ","")&amp;
IF(INDEX('ETAPA OBRA'!F:F,MATCH($B35,'ETAPA OBRA'!$B:$B,0))="x",'ETAPA OBRA'!F$1&amp;", ","")&amp;
IF(INDEX('ETAPA OBRA'!G:G,MATCH($B35,'ETAPA OBRA'!$B:$B,0))="x",'ETAPA OBRA'!G$1&amp;", ","")&amp;
IF(INDEX('ETAPA OBRA'!H:H,MATCH($B35,'ETAPA OBRA'!$B:$B,0))="x",'ETAPA OBRA'!H$1&amp;", ","")&amp;
IF(INDEX('ETAPA OBRA'!I:I,MATCH($B35,'ETAPA OBRA'!$B:$B,0))="x",'ETAPA OBRA'!I$1&amp;", ","")&amp;
IF(INDEX('ETAPA OBRA'!J:J,MATCH($B35,'ETAPA OBRA'!$B:$B,0))="x",'ETAPA OBRA'!J$1&amp;", ","")&amp;
IF(INDEX('ETAPA OBRA'!K:K,MATCH($B35,'ETAPA OBRA'!$B:$B,0))="x",'ETAPA OBRA'!K$1&amp;", ","")&amp;
IF(INDEX('ETAPA OBRA'!L:L,MATCH($B35,'ETAPA OBRA'!$B:$B,0))="x",'ETAPA OBRA'!L$1&amp;", ","")&amp;
IF(INDEX('ETAPA OBRA'!M:M,MATCH($B35,'ETAPA OBRA'!$B:$B,0))="x",'ETAPA OBRA'!M$1&amp;", ","")&amp;
IF(INDEX('ETAPA OBRA'!N:N,MATCH($B35,'ETAPA OBRA'!$B:$B,0))="x",'ETAPA OBRA'!N$1&amp;", ","")&amp;
IF(INDEX('ETAPA OBRA'!O:O,MATCH($B35,'ETAPA OBRA'!$B:$B,0))="x",'ETAPA OBRA'!O$1&amp;", ","")&amp;
IF(INDEX('ETAPA OBRA'!P:P,MATCH($B35,'ETAPA OBRA'!$B:$B,0))="x",'ETAPA OBRA'!P$1&amp;", ","")&amp;
IF(INDEX('ETAPA OBRA'!Q:Q,MATCH($B35,'ETAPA OBRA'!$B:$B,0))="x",'ETAPA OBRA'!Q$1&amp;", ","")&amp;
IF(INDEX('ETAPA OBRA'!R:R,MATCH($B35,'ETAPA OBRA'!$B:$B,0))="x",'ETAPA OBRA'!R$1&amp;", ","")&amp;
IF(INDEX('ETAPA OBRA'!S:S,MATCH($B35,'ETAPA OBRA'!$B:$B,0))="x",'ETAPA OBRA'!S$1&amp;", ","")&amp;
IF(INDEX('ETAPA OBRA'!T:T,MATCH($B35,'ETAPA OBRA'!$B:$B,0))="x",'ETAPA OBRA'!T$1&amp;", ","")&amp;
IF(INDEX('ETAPA OBRA'!U:U,MATCH($B35,'ETAPA OBRA'!$B:$B,0))="x",'ETAPA OBRA'!U$1&amp;", ","")
)-2),"")</f>
        <v>Finalizado</v>
      </c>
      <c r="N35" s="23" t="str">
        <f t="shared" si="5"/>
        <v>Finalizado</v>
      </c>
      <c r="O35" s="28">
        <v>24565.64</v>
      </c>
      <c r="P35" s="37">
        <f t="shared" si="1"/>
        <v>12773.53</v>
      </c>
      <c r="Q35" s="28">
        <f t="shared" si="6"/>
        <v>11792.109999999999</v>
      </c>
      <c r="R35" s="29">
        <f t="shared" si="7"/>
        <v>0.48002453833891562</v>
      </c>
      <c r="S35" s="23" t="str">
        <f t="shared" si="8"/>
        <v>✅ OK - Fechar Parceiro</v>
      </c>
      <c r="T35" s="23" t="str">
        <f>Cronograma[[#This Row],[STATUS]]</f>
        <v>✅ CONCLUÍDO</v>
      </c>
    </row>
    <row r="36" spans="1:20" ht="14.4" x14ac:dyDescent="0.3">
      <c r="A36" s="23" t="s">
        <v>130</v>
      </c>
      <c r="B36" s="23" t="str">
        <f>IF(A36&lt;&gt;"","contel-"&amp;TEXT(COUNTA($A$2:A36),"00"),"")</f>
        <v>contel-35</v>
      </c>
      <c r="C36" s="23" t="s">
        <v>130</v>
      </c>
      <c r="D36" s="23" t="s">
        <v>131</v>
      </c>
      <c r="E36" s="23" t="s">
        <v>132</v>
      </c>
      <c r="F36" s="52" t="s">
        <v>133</v>
      </c>
      <c r="G36" s="23">
        <v>1738</v>
      </c>
      <c r="H36" s="24">
        <v>15913</v>
      </c>
      <c r="I36" s="23" t="s">
        <v>134</v>
      </c>
      <c r="J36" s="25">
        <f>SUM(EQUIPE!C36,EQUIPE!E36,EQUIPE!G36,EQUIPE!I36,EQUIPE!K36,EQUIPE!M36,EQUIPE!O36)</f>
        <v>0</v>
      </c>
      <c r="K36" s="25"/>
      <c r="L36" s="25">
        <v>398787.69</v>
      </c>
      <c r="M36" s="27" t="str">
        <f ca="1">IFERROR(LEFT(
IF(INDEX('ETAPA OBRA'!C:C,MATCH($B36,'ETAPA OBRA'!$B:$B,0))="x",'ETAPA OBRA'!C$1&amp;", ","")&amp;
IF(INDEX('ETAPA OBRA'!D:D,MATCH($B36,'ETAPA OBRA'!$B:$B,0))="x",'ETAPA OBRA'!D$1&amp;", ","")&amp;
IF(INDEX('ETAPA OBRA'!F:F,MATCH($B36,'ETAPA OBRA'!$B:$B,0))="x",'ETAPA OBRA'!F$1&amp;", ","")&amp;
IF(INDEX('ETAPA OBRA'!G:G,MATCH($B36,'ETAPA OBRA'!$B:$B,0))="x",'ETAPA OBRA'!G$1&amp;", ","")&amp;
IF(INDEX('ETAPA OBRA'!H:H,MATCH($B36,'ETAPA OBRA'!$B:$B,0))="x",'ETAPA OBRA'!H$1&amp;", ","")&amp;
IF(INDEX('ETAPA OBRA'!I:I,MATCH($B36,'ETAPA OBRA'!$B:$B,0))="x",'ETAPA OBRA'!I$1&amp;", ","")&amp;
IF(INDEX('ETAPA OBRA'!J:J,MATCH($B36,'ETAPA OBRA'!$B:$B,0))="x",'ETAPA OBRA'!J$1&amp;", ","")&amp;
IF(INDEX('ETAPA OBRA'!K:K,MATCH($B36,'ETAPA OBRA'!$B:$B,0))="x",'ETAPA OBRA'!K$1&amp;", ","")&amp;
IF(INDEX('ETAPA OBRA'!L:L,MATCH($B36,'ETAPA OBRA'!$B:$B,0))="x",'ETAPA OBRA'!L$1&amp;", ","")&amp;
IF(INDEX('ETAPA OBRA'!M:M,MATCH($B36,'ETAPA OBRA'!$B:$B,0))="x",'ETAPA OBRA'!M$1&amp;", ","")&amp;
IF(INDEX('ETAPA OBRA'!N:N,MATCH($B36,'ETAPA OBRA'!$B:$B,0))="x",'ETAPA OBRA'!N$1&amp;", ","")&amp;
IF(INDEX('ETAPA OBRA'!O:O,MATCH($B36,'ETAPA OBRA'!$B:$B,0))="x",'ETAPA OBRA'!O$1&amp;", ","")&amp;
IF(INDEX('ETAPA OBRA'!P:P,MATCH($B36,'ETAPA OBRA'!$B:$B,0))="x",'ETAPA OBRA'!P$1&amp;", ","")&amp;
IF(INDEX('ETAPA OBRA'!Q:Q,MATCH($B36,'ETAPA OBRA'!$B:$B,0))="x",'ETAPA OBRA'!Q$1&amp;", ","")&amp;
IF(INDEX('ETAPA OBRA'!R:R,MATCH($B36,'ETAPA OBRA'!$B:$B,0))="x",'ETAPA OBRA'!R$1&amp;", ","")&amp;
IF(INDEX('ETAPA OBRA'!S:S,MATCH($B36,'ETAPA OBRA'!$B:$B,0))="x",'ETAPA OBRA'!S$1&amp;", ","")&amp;
IF(INDEX('ETAPA OBRA'!T:T,MATCH($B36,'ETAPA OBRA'!$B:$B,0))="x",'ETAPA OBRA'!T$1&amp;", ","")&amp;
IF(INDEX('ETAPA OBRA'!U:U,MATCH($B36,'ETAPA OBRA'!$B:$B,0))="x",'ETAPA OBRA'!U$1&amp;", ",""),LEN(
IF(INDEX('ETAPA OBRA'!C:C,MATCH($B36,'ETAPA OBRA'!$B:$B,0))="x",'ETAPA OBRA'!C$1&amp;", ","")&amp;
IF(INDEX('ETAPA OBRA'!D:D,MATCH($B36,'ETAPA OBRA'!$B:$B,0))="x",'ETAPA OBRA'!D$1&amp;", ","")&amp;
IF(INDEX('ETAPA OBRA'!F:F,MATCH($B36,'ETAPA OBRA'!$B:$B,0))="x",'ETAPA OBRA'!F$1&amp;", ","")&amp;
IF(INDEX('ETAPA OBRA'!G:G,MATCH($B36,'ETAPA OBRA'!$B:$B,0))="x",'ETAPA OBRA'!G$1&amp;", ","")&amp;
IF(INDEX('ETAPA OBRA'!H:H,MATCH($B36,'ETAPA OBRA'!$B:$B,0))="x",'ETAPA OBRA'!H$1&amp;", ","")&amp;
IF(INDEX('ETAPA OBRA'!I:I,MATCH($B36,'ETAPA OBRA'!$B:$B,0))="x",'ETAPA OBRA'!I$1&amp;", ","")&amp;
IF(INDEX('ETAPA OBRA'!J:J,MATCH($B36,'ETAPA OBRA'!$B:$B,0))="x",'ETAPA OBRA'!J$1&amp;", ","")&amp;
IF(INDEX('ETAPA OBRA'!K:K,MATCH($B36,'ETAPA OBRA'!$B:$B,0))="x",'ETAPA OBRA'!K$1&amp;", ","")&amp;
IF(INDEX('ETAPA OBRA'!L:L,MATCH($B36,'ETAPA OBRA'!$B:$B,0))="x",'ETAPA OBRA'!L$1&amp;", ","")&amp;
IF(INDEX('ETAPA OBRA'!M:M,MATCH($B36,'ETAPA OBRA'!$B:$B,0))="x",'ETAPA OBRA'!M$1&amp;", ","")&amp;
IF(INDEX('ETAPA OBRA'!N:N,MATCH($B36,'ETAPA OBRA'!$B:$B,0))="x",'ETAPA OBRA'!N$1&amp;", ","")&amp;
IF(INDEX('ETAPA OBRA'!O:O,MATCH($B36,'ETAPA OBRA'!$B:$B,0))="x",'ETAPA OBRA'!O$1&amp;", ","")&amp;
IF(INDEX('ETAPA OBRA'!P:P,MATCH($B36,'ETAPA OBRA'!$B:$B,0))="x",'ETAPA OBRA'!P$1&amp;", ","")&amp;
IF(INDEX('ETAPA OBRA'!Q:Q,MATCH($B36,'ETAPA OBRA'!$B:$B,0))="x",'ETAPA OBRA'!Q$1&amp;", ","")&amp;
IF(INDEX('ETAPA OBRA'!R:R,MATCH($B36,'ETAPA OBRA'!$B:$B,0))="x",'ETAPA OBRA'!R$1&amp;", ","")&amp;
IF(INDEX('ETAPA OBRA'!S:S,MATCH($B36,'ETAPA OBRA'!$B:$B,0))="x",'ETAPA OBRA'!S$1&amp;", ","")&amp;
IF(INDEX('ETAPA OBRA'!T:T,MATCH($B36,'ETAPA OBRA'!$B:$B,0))="x",'ETAPA OBRA'!T$1&amp;", ","")&amp;
IF(INDEX('ETAPA OBRA'!U:U,MATCH($B36,'ETAPA OBRA'!$B:$B,0))="x",'ETAPA OBRA'!U$1&amp;", ","")
)-2),"")</f>
        <v>Execução</v>
      </c>
      <c r="N36" s="23" t="str">
        <f t="shared" ca="1" si="5"/>
        <v>Em andamento</v>
      </c>
      <c r="O36" s="28">
        <f>659900+13987.65+45356</f>
        <v>719243.65</v>
      </c>
      <c r="P36" s="37">
        <f t="shared" si="1"/>
        <v>398787.69</v>
      </c>
      <c r="Q36" s="28">
        <f t="shared" si="6"/>
        <v>320455.96000000002</v>
      </c>
      <c r="R36" s="29">
        <f t="shared" si="7"/>
        <v>0.44554576185691736</v>
      </c>
      <c r="S36" s="23" t="str">
        <f t="shared" si="8"/>
        <v>✅ OK - Fechar Parceiro</v>
      </c>
      <c r="T36" s="23" t="str">
        <f ca="1">Cronograma[[#This Row],[STATUS]]</f>
        <v>🕓 EM ANDAMENTO</v>
      </c>
    </row>
    <row r="37" spans="1:20" ht="14.4" x14ac:dyDescent="0.3">
      <c r="A37" s="23" t="s">
        <v>135</v>
      </c>
      <c r="B37" s="23" t="str">
        <f>IF(A37&lt;&gt;"","contel-"&amp;TEXT(COUNTA($A$2:A37),"00"),"")</f>
        <v>contel-36</v>
      </c>
      <c r="C37" s="23" t="s">
        <v>21</v>
      </c>
      <c r="D37" s="23" t="s">
        <v>96</v>
      </c>
      <c r="E37" s="23" t="s">
        <v>97</v>
      </c>
      <c r="F37" s="52" t="s">
        <v>136</v>
      </c>
      <c r="G37" s="23">
        <v>1740</v>
      </c>
      <c r="H37" s="24">
        <v>15902</v>
      </c>
      <c r="I37" s="23" t="s">
        <v>63</v>
      </c>
      <c r="J37" s="25">
        <f>SUM(EQUIPE!C37,EQUIPE!E37,EQUIPE!G37,EQUIPE!I37,EQUIPE!K37,EQUIPE!M37,EQUIPE!O37)</f>
        <v>9800</v>
      </c>
      <c r="K37" s="25">
        <v>2777.43</v>
      </c>
      <c r="L37" s="25">
        <v>9180.9</v>
      </c>
      <c r="M37" s="27" t="str">
        <f>IFERROR(LEFT(
IF(INDEX('ETAPA OBRA'!C:C,MATCH($B37,'ETAPA OBRA'!$B:$B,0))="x",'ETAPA OBRA'!C$1&amp;", ","")&amp;
IF(INDEX('ETAPA OBRA'!D:D,MATCH($B37,'ETAPA OBRA'!$B:$B,0))="x",'ETAPA OBRA'!D$1&amp;", ","")&amp;
IF(INDEX('ETAPA OBRA'!F:F,MATCH($B37,'ETAPA OBRA'!$B:$B,0))="x",'ETAPA OBRA'!F$1&amp;", ","")&amp;
IF(INDEX('ETAPA OBRA'!G:G,MATCH($B37,'ETAPA OBRA'!$B:$B,0))="x",'ETAPA OBRA'!G$1&amp;", ","")&amp;
IF(INDEX('ETAPA OBRA'!H:H,MATCH($B37,'ETAPA OBRA'!$B:$B,0))="x",'ETAPA OBRA'!H$1&amp;", ","")&amp;
IF(INDEX('ETAPA OBRA'!I:I,MATCH($B37,'ETAPA OBRA'!$B:$B,0))="x",'ETAPA OBRA'!I$1&amp;", ","")&amp;
IF(INDEX('ETAPA OBRA'!J:J,MATCH($B37,'ETAPA OBRA'!$B:$B,0))="x",'ETAPA OBRA'!J$1&amp;", ","")&amp;
IF(INDEX('ETAPA OBRA'!K:K,MATCH($B37,'ETAPA OBRA'!$B:$B,0))="x",'ETAPA OBRA'!K$1&amp;", ","")&amp;
IF(INDEX('ETAPA OBRA'!L:L,MATCH($B37,'ETAPA OBRA'!$B:$B,0))="x",'ETAPA OBRA'!L$1&amp;", ","")&amp;
IF(INDEX('ETAPA OBRA'!M:M,MATCH($B37,'ETAPA OBRA'!$B:$B,0))="x",'ETAPA OBRA'!M$1&amp;", ","")&amp;
IF(INDEX('ETAPA OBRA'!N:N,MATCH($B37,'ETAPA OBRA'!$B:$B,0))="x",'ETAPA OBRA'!N$1&amp;", ","")&amp;
IF(INDEX('ETAPA OBRA'!O:O,MATCH($B37,'ETAPA OBRA'!$B:$B,0))="x",'ETAPA OBRA'!O$1&amp;", ","")&amp;
IF(INDEX('ETAPA OBRA'!P:P,MATCH($B37,'ETAPA OBRA'!$B:$B,0))="x",'ETAPA OBRA'!P$1&amp;", ","")&amp;
IF(INDEX('ETAPA OBRA'!Q:Q,MATCH($B37,'ETAPA OBRA'!$B:$B,0))="x",'ETAPA OBRA'!Q$1&amp;", ","")&amp;
IF(INDEX('ETAPA OBRA'!R:R,MATCH($B37,'ETAPA OBRA'!$B:$B,0))="x",'ETAPA OBRA'!R$1&amp;", ","")&amp;
IF(INDEX('ETAPA OBRA'!S:S,MATCH($B37,'ETAPA OBRA'!$B:$B,0))="x",'ETAPA OBRA'!S$1&amp;", ","")&amp;
IF(INDEX('ETAPA OBRA'!T:T,MATCH($B37,'ETAPA OBRA'!$B:$B,0))="x",'ETAPA OBRA'!T$1&amp;", ","")&amp;
IF(INDEX('ETAPA OBRA'!U:U,MATCH($B37,'ETAPA OBRA'!$B:$B,0))="x",'ETAPA OBRA'!U$1&amp;", ",""),LEN(
IF(INDEX('ETAPA OBRA'!C:C,MATCH($B37,'ETAPA OBRA'!$B:$B,0))="x",'ETAPA OBRA'!C$1&amp;", ","")&amp;
IF(INDEX('ETAPA OBRA'!D:D,MATCH($B37,'ETAPA OBRA'!$B:$B,0))="x",'ETAPA OBRA'!D$1&amp;", ","")&amp;
IF(INDEX('ETAPA OBRA'!F:F,MATCH($B37,'ETAPA OBRA'!$B:$B,0))="x",'ETAPA OBRA'!F$1&amp;", ","")&amp;
IF(INDEX('ETAPA OBRA'!G:G,MATCH($B37,'ETAPA OBRA'!$B:$B,0))="x",'ETAPA OBRA'!G$1&amp;", ","")&amp;
IF(INDEX('ETAPA OBRA'!H:H,MATCH($B37,'ETAPA OBRA'!$B:$B,0))="x",'ETAPA OBRA'!H$1&amp;", ","")&amp;
IF(INDEX('ETAPA OBRA'!I:I,MATCH($B37,'ETAPA OBRA'!$B:$B,0))="x",'ETAPA OBRA'!I$1&amp;", ","")&amp;
IF(INDEX('ETAPA OBRA'!J:J,MATCH($B37,'ETAPA OBRA'!$B:$B,0))="x",'ETAPA OBRA'!J$1&amp;", ","")&amp;
IF(INDEX('ETAPA OBRA'!K:K,MATCH($B37,'ETAPA OBRA'!$B:$B,0))="x",'ETAPA OBRA'!K$1&amp;", ","")&amp;
IF(INDEX('ETAPA OBRA'!L:L,MATCH($B37,'ETAPA OBRA'!$B:$B,0))="x",'ETAPA OBRA'!L$1&amp;", ","")&amp;
IF(INDEX('ETAPA OBRA'!M:M,MATCH($B37,'ETAPA OBRA'!$B:$B,0))="x",'ETAPA OBRA'!M$1&amp;", ","")&amp;
IF(INDEX('ETAPA OBRA'!N:N,MATCH($B37,'ETAPA OBRA'!$B:$B,0))="x",'ETAPA OBRA'!N$1&amp;", ","")&amp;
IF(INDEX('ETAPA OBRA'!O:O,MATCH($B37,'ETAPA OBRA'!$B:$B,0))="x",'ETAPA OBRA'!O$1&amp;", ","")&amp;
IF(INDEX('ETAPA OBRA'!P:P,MATCH($B37,'ETAPA OBRA'!$B:$B,0))="x",'ETAPA OBRA'!P$1&amp;", ","")&amp;
IF(INDEX('ETAPA OBRA'!Q:Q,MATCH($B37,'ETAPA OBRA'!$B:$B,0))="x",'ETAPA OBRA'!Q$1&amp;", ","")&amp;
IF(INDEX('ETAPA OBRA'!R:R,MATCH($B37,'ETAPA OBRA'!$B:$B,0))="x",'ETAPA OBRA'!R$1&amp;", ","")&amp;
IF(INDEX('ETAPA OBRA'!S:S,MATCH($B37,'ETAPA OBRA'!$B:$B,0))="x",'ETAPA OBRA'!S$1&amp;", ","")&amp;
IF(INDEX('ETAPA OBRA'!T:T,MATCH($B37,'ETAPA OBRA'!$B:$B,0))="x",'ETAPA OBRA'!T$1&amp;", ","")&amp;
IF(INDEX('ETAPA OBRA'!U:U,MATCH($B37,'ETAPA OBRA'!$B:$B,0))="x",'ETAPA OBRA'!U$1&amp;", ","")
)-2),"")</f>
        <v>Finalizado</v>
      </c>
      <c r="N37" s="23" t="str">
        <f t="shared" si="5"/>
        <v>Finalizado</v>
      </c>
      <c r="O37" s="28">
        <v>33703.440000000002</v>
      </c>
      <c r="P37" s="37">
        <f t="shared" si="1"/>
        <v>21758.33</v>
      </c>
      <c r="Q37" s="28">
        <f t="shared" si="6"/>
        <v>11945.11</v>
      </c>
      <c r="R37" s="29">
        <f t="shared" si="7"/>
        <v>0.35441812467807438</v>
      </c>
      <c r="S37" s="23" t="str">
        <f t="shared" si="8"/>
        <v>✅ OK - Fechar Parceiro</v>
      </c>
      <c r="T37" s="23" t="str">
        <f>Cronograma[[#This Row],[STATUS]]</f>
        <v>✅ CONCLUÍDO</v>
      </c>
    </row>
    <row r="38" spans="1:20" ht="14.4" x14ac:dyDescent="0.3">
      <c r="A38" s="23" t="s">
        <v>137</v>
      </c>
      <c r="B38" s="23" t="str">
        <f>IF(A38&lt;&gt;"","contel-"&amp;TEXT(COUNTA($A$2:A38),"00"),"")</f>
        <v>contel-37</v>
      </c>
      <c r="C38" s="23" t="s">
        <v>78</v>
      </c>
      <c r="D38" s="23" t="s">
        <v>138</v>
      </c>
      <c r="E38" s="23" t="s">
        <v>117</v>
      </c>
      <c r="F38" s="52" t="s">
        <v>139</v>
      </c>
      <c r="G38" s="23">
        <v>1741</v>
      </c>
      <c r="H38" s="24">
        <v>15925</v>
      </c>
      <c r="I38" s="23" t="s">
        <v>25</v>
      </c>
      <c r="J38" s="25">
        <f>SUM(EQUIPE!C38,EQUIPE!E38,EQUIPE!G38,EQUIPE!I38,EQUIPE!K38,EQUIPE!M38,EQUIPE!O38)</f>
        <v>2800</v>
      </c>
      <c r="K38" s="25">
        <v>3000</v>
      </c>
      <c r="L38" s="25">
        <v>5290.7</v>
      </c>
      <c r="M38" s="27" t="str">
        <f>IFERROR(LEFT(
IF(INDEX('ETAPA OBRA'!C:C,MATCH($B38,'ETAPA OBRA'!$B:$B,0))="x",'ETAPA OBRA'!C$1&amp;", ","")&amp;
IF(INDEX('ETAPA OBRA'!D:D,MATCH($B38,'ETAPA OBRA'!$B:$B,0))="x",'ETAPA OBRA'!D$1&amp;", ","")&amp;
IF(INDEX('ETAPA OBRA'!F:F,MATCH($B38,'ETAPA OBRA'!$B:$B,0))="x",'ETAPA OBRA'!F$1&amp;", ","")&amp;
IF(INDEX('ETAPA OBRA'!G:G,MATCH($B38,'ETAPA OBRA'!$B:$B,0))="x",'ETAPA OBRA'!G$1&amp;", ","")&amp;
IF(INDEX('ETAPA OBRA'!H:H,MATCH($B38,'ETAPA OBRA'!$B:$B,0))="x",'ETAPA OBRA'!H$1&amp;", ","")&amp;
IF(INDEX('ETAPA OBRA'!I:I,MATCH($B38,'ETAPA OBRA'!$B:$B,0))="x",'ETAPA OBRA'!I$1&amp;", ","")&amp;
IF(INDEX('ETAPA OBRA'!J:J,MATCH($B38,'ETAPA OBRA'!$B:$B,0))="x",'ETAPA OBRA'!J$1&amp;", ","")&amp;
IF(INDEX('ETAPA OBRA'!K:K,MATCH($B38,'ETAPA OBRA'!$B:$B,0))="x",'ETAPA OBRA'!K$1&amp;", ","")&amp;
IF(INDEX('ETAPA OBRA'!L:L,MATCH($B38,'ETAPA OBRA'!$B:$B,0))="x",'ETAPA OBRA'!L$1&amp;", ","")&amp;
IF(INDEX('ETAPA OBRA'!M:M,MATCH($B38,'ETAPA OBRA'!$B:$B,0))="x",'ETAPA OBRA'!M$1&amp;", ","")&amp;
IF(INDEX('ETAPA OBRA'!N:N,MATCH($B38,'ETAPA OBRA'!$B:$B,0))="x",'ETAPA OBRA'!N$1&amp;", ","")&amp;
IF(INDEX('ETAPA OBRA'!O:O,MATCH($B38,'ETAPA OBRA'!$B:$B,0))="x",'ETAPA OBRA'!O$1&amp;", ","")&amp;
IF(INDEX('ETAPA OBRA'!P:P,MATCH($B38,'ETAPA OBRA'!$B:$B,0))="x",'ETAPA OBRA'!P$1&amp;", ","")&amp;
IF(INDEX('ETAPA OBRA'!Q:Q,MATCH($B38,'ETAPA OBRA'!$B:$B,0))="x",'ETAPA OBRA'!Q$1&amp;", ","")&amp;
IF(INDEX('ETAPA OBRA'!R:R,MATCH($B38,'ETAPA OBRA'!$B:$B,0))="x",'ETAPA OBRA'!R$1&amp;", ","")&amp;
IF(INDEX('ETAPA OBRA'!S:S,MATCH($B38,'ETAPA OBRA'!$B:$B,0))="x",'ETAPA OBRA'!S$1&amp;", ","")&amp;
IF(INDEX('ETAPA OBRA'!T:T,MATCH($B38,'ETAPA OBRA'!$B:$B,0))="x",'ETAPA OBRA'!T$1&amp;", ","")&amp;
IF(INDEX('ETAPA OBRA'!U:U,MATCH($B38,'ETAPA OBRA'!$B:$B,0))="x",'ETAPA OBRA'!U$1&amp;", ",""),LEN(
IF(INDEX('ETAPA OBRA'!C:C,MATCH($B38,'ETAPA OBRA'!$B:$B,0))="x",'ETAPA OBRA'!C$1&amp;", ","")&amp;
IF(INDEX('ETAPA OBRA'!D:D,MATCH($B38,'ETAPA OBRA'!$B:$B,0))="x",'ETAPA OBRA'!D$1&amp;", ","")&amp;
IF(INDEX('ETAPA OBRA'!F:F,MATCH($B38,'ETAPA OBRA'!$B:$B,0))="x",'ETAPA OBRA'!F$1&amp;", ","")&amp;
IF(INDEX('ETAPA OBRA'!G:G,MATCH($B38,'ETAPA OBRA'!$B:$B,0))="x",'ETAPA OBRA'!G$1&amp;", ","")&amp;
IF(INDEX('ETAPA OBRA'!H:H,MATCH($B38,'ETAPA OBRA'!$B:$B,0))="x",'ETAPA OBRA'!H$1&amp;", ","")&amp;
IF(INDEX('ETAPA OBRA'!I:I,MATCH($B38,'ETAPA OBRA'!$B:$B,0))="x",'ETAPA OBRA'!I$1&amp;", ","")&amp;
IF(INDEX('ETAPA OBRA'!J:J,MATCH($B38,'ETAPA OBRA'!$B:$B,0))="x",'ETAPA OBRA'!J$1&amp;", ","")&amp;
IF(INDEX('ETAPA OBRA'!K:K,MATCH($B38,'ETAPA OBRA'!$B:$B,0))="x",'ETAPA OBRA'!K$1&amp;", ","")&amp;
IF(INDEX('ETAPA OBRA'!L:L,MATCH($B38,'ETAPA OBRA'!$B:$B,0))="x",'ETAPA OBRA'!L$1&amp;", ","")&amp;
IF(INDEX('ETAPA OBRA'!M:M,MATCH($B38,'ETAPA OBRA'!$B:$B,0))="x",'ETAPA OBRA'!M$1&amp;", ","")&amp;
IF(INDEX('ETAPA OBRA'!N:N,MATCH($B38,'ETAPA OBRA'!$B:$B,0))="x",'ETAPA OBRA'!N$1&amp;", ","")&amp;
IF(INDEX('ETAPA OBRA'!O:O,MATCH($B38,'ETAPA OBRA'!$B:$B,0))="x",'ETAPA OBRA'!O$1&amp;", ","")&amp;
IF(INDEX('ETAPA OBRA'!P:P,MATCH($B38,'ETAPA OBRA'!$B:$B,0))="x",'ETAPA OBRA'!P$1&amp;", ","")&amp;
IF(INDEX('ETAPA OBRA'!Q:Q,MATCH($B38,'ETAPA OBRA'!$B:$B,0))="x",'ETAPA OBRA'!Q$1&amp;", ","")&amp;
IF(INDEX('ETAPA OBRA'!R:R,MATCH($B38,'ETAPA OBRA'!$B:$B,0))="x",'ETAPA OBRA'!R$1&amp;", ","")&amp;
IF(INDEX('ETAPA OBRA'!S:S,MATCH($B38,'ETAPA OBRA'!$B:$B,0))="x",'ETAPA OBRA'!S$1&amp;", ","")&amp;
IF(INDEX('ETAPA OBRA'!T:T,MATCH($B38,'ETAPA OBRA'!$B:$B,0))="x",'ETAPA OBRA'!T$1&amp;", ","")&amp;
IF(INDEX('ETAPA OBRA'!U:U,MATCH($B38,'ETAPA OBRA'!$B:$B,0))="x",'ETAPA OBRA'!U$1&amp;", ","")
)-2),"")</f>
        <v>Finalizado</v>
      </c>
      <c r="N38" s="23" t="str">
        <f t="shared" si="5"/>
        <v>Finalizado</v>
      </c>
      <c r="O38" s="28">
        <v>23000</v>
      </c>
      <c r="P38" s="37">
        <f t="shared" si="1"/>
        <v>11090.7</v>
      </c>
      <c r="Q38" s="28">
        <f t="shared" si="6"/>
        <v>11909.3</v>
      </c>
      <c r="R38" s="29">
        <f t="shared" si="7"/>
        <v>0.51779565217391299</v>
      </c>
      <c r="S38" s="23" t="str">
        <f t="shared" si="8"/>
        <v>✅ OK - Fechar Parceiro</v>
      </c>
      <c r="T38" s="23" t="str">
        <f>Cronograma[[#This Row],[STATUS]]</f>
        <v>✅ CONCLUÍDO</v>
      </c>
    </row>
    <row r="39" spans="1:20" ht="14.4" x14ac:dyDescent="0.3">
      <c r="A39" s="23" t="s">
        <v>140</v>
      </c>
      <c r="B39" s="23" t="str">
        <f>IF(A39&lt;&gt;"","contel-"&amp;TEXT(COUNTA($A$2:A39),"00"),"")</f>
        <v>contel-38</v>
      </c>
      <c r="C39" s="23" t="s">
        <v>78</v>
      </c>
      <c r="D39" s="23" t="s">
        <v>141</v>
      </c>
      <c r="E39" s="23" t="s">
        <v>23</v>
      </c>
      <c r="F39" s="52" t="s">
        <v>142</v>
      </c>
      <c r="G39" s="23">
        <v>1742</v>
      </c>
      <c r="H39" s="24">
        <v>15926</v>
      </c>
      <c r="I39" s="23" t="s">
        <v>25</v>
      </c>
      <c r="J39" s="25">
        <f>SUM(EQUIPE!C39,EQUIPE!E39,EQUIPE!G39,EQUIPE!I39,EQUIPE!K39,EQUIPE!M39,EQUIPE!O39)</f>
        <v>3000</v>
      </c>
      <c r="K39" s="25">
        <v>3950</v>
      </c>
      <c r="L39" s="25">
        <v>3271.47</v>
      </c>
      <c r="M39" s="27" t="str">
        <f>IFERROR(LEFT(
IF(INDEX('ETAPA OBRA'!C:C,MATCH($B39,'ETAPA OBRA'!$B:$B,0))="x",'ETAPA OBRA'!C$1&amp;", ","")&amp;
IF(INDEX('ETAPA OBRA'!D:D,MATCH($B39,'ETAPA OBRA'!$B:$B,0))="x",'ETAPA OBRA'!D$1&amp;", ","")&amp;
IF(INDEX('ETAPA OBRA'!F:F,MATCH($B39,'ETAPA OBRA'!$B:$B,0))="x",'ETAPA OBRA'!F$1&amp;", ","")&amp;
IF(INDEX('ETAPA OBRA'!G:G,MATCH($B39,'ETAPA OBRA'!$B:$B,0))="x",'ETAPA OBRA'!G$1&amp;", ","")&amp;
IF(INDEX('ETAPA OBRA'!H:H,MATCH($B39,'ETAPA OBRA'!$B:$B,0))="x",'ETAPA OBRA'!H$1&amp;", ","")&amp;
IF(INDEX('ETAPA OBRA'!I:I,MATCH($B39,'ETAPA OBRA'!$B:$B,0))="x",'ETAPA OBRA'!I$1&amp;", ","")&amp;
IF(INDEX('ETAPA OBRA'!J:J,MATCH($B39,'ETAPA OBRA'!$B:$B,0))="x",'ETAPA OBRA'!J$1&amp;", ","")&amp;
IF(INDEX('ETAPA OBRA'!K:K,MATCH($B39,'ETAPA OBRA'!$B:$B,0))="x",'ETAPA OBRA'!K$1&amp;", ","")&amp;
IF(INDEX('ETAPA OBRA'!L:L,MATCH($B39,'ETAPA OBRA'!$B:$B,0))="x",'ETAPA OBRA'!L$1&amp;", ","")&amp;
IF(INDEX('ETAPA OBRA'!M:M,MATCH($B39,'ETAPA OBRA'!$B:$B,0))="x",'ETAPA OBRA'!M$1&amp;", ","")&amp;
IF(INDEX('ETAPA OBRA'!N:N,MATCH($B39,'ETAPA OBRA'!$B:$B,0))="x",'ETAPA OBRA'!N$1&amp;", ","")&amp;
IF(INDEX('ETAPA OBRA'!O:O,MATCH($B39,'ETAPA OBRA'!$B:$B,0))="x",'ETAPA OBRA'!O$1&amp;", ","")&amp;
IF(INDEX('ETAPA OBRA'!P:P,MATCH($B39,'ETAPA OBRA'!$B:$B,0))="x",'ETAPA OBRA'!P$1&amp;", ","")&amp;
IF(INDEX('ETAPA OBRA'!Q:Q,MATCH($B39,'ETAPA OBRA'!$B:$B,0))="x",'ETAPA OBRA'!Q$1&amp;", ","")&amp;
IF(INDEX('ETAPA OBRA'!R:R,MATCH($B39,'ETAPA OBRA'!$B:$B,0))="x",'ETAPA OBRA'!R$1&amp;", ","")&amp;
IF(INDEX('ETAPA OBRA'!S:S,MATCH($B39,'ETAPA OBRA'!$B:$B,0))="x",'ETAPA OBRA'!S$1&amp;", ","")&amp;
IF(INDEX('ETAPA OBRA'!T:T,MATCH($B39,'ETAPA OBRA'!$B:$B,0))="x",'ETAPA OBRA'!T$1&amp;", ","")&amp;
IF(INDEX('ETAPA OBRA'!U:U,MATCH($B39,'ETAPA OBRA'!$B:$B,0))="x",'ETAPA OBRA'!U$1&amp;", ",""),LEN(
IF(INDEX('ETAPA OBRA'!C:C,MATCH($B39,'ETAPA OBRA'!$B:$B,0))="x",'ETAPA OBRA'!C$1&amp;", ","")&amp;
IF(INDEX('ETAPA OBRA'!D:D,MATCH($B39,'ETAPA OBRA'!$B:$B,0))="x",'ETAPA OBRA'!D$1&amp;", ","")&amp;
IF(INDEX('ETAPA OBRA'!F:F,MATCH($B39,'ETAPA OBRA'!$B:$B,0))="x",'ETAPA OBRA'!F$1&amp;", ","")&amp;
IF(INDEX('ETAPA OBRA'!G:G,MATCH($B39,'ETAPA OBRA'!$B:$B,0))="x",'ETAPA OBRA'!G$1&amp;", ","")&amp;
IF(INDEX('ETAPA OBRA'!H:H,MATCH($B39,'ETAPA OBRA'!$B:$B,0))="x",'ETAPA OBRA'!H$1&amp;", ","")&amp;
IF(INDEX('ETAPA OBRA'!I:I,MATCH($B39,'ETAPA OBRA'!$B:$B,0))="x",'ETAPA OBRA'!I$1&amp;", ","")&amp;
IF(INDEX('ETAPA OBRA'!J:J,MATCH($B39,'ETAPA OBRA'!$B:$B,0))="x",'ETAPA OBRA'!J$1&amp;", ","")&amp;
IF(INDEX('ETAPA OBRA'!K:K,MATCH($B39,'ETAPA OBRA'!$B:$B,0))="x",'ETAPA OBRA'!K$1&amp;", ","")&amp;
IF(INDEX('ETAPA OBRA'!L:L,MATCH($B39,'ETAPA OBRA'!$B:$B,0))="x",'ETAPA OBRA'!L$1&amp;", ","")&amp;
IF(INDEX('ETAPA OBRA'!M:M,MATCH($B39,'ETAPA OBRA'!$B:$B,0))="x",'ETAPA OBRA'!M$1&amp;", ","")&amp;
IF(INDEX('ETAPA OBRA'!N:N,MATCH($B39,'ETAPA OBRA'!$B:$B,0))="x",'ETAPA OBRA'!N$1&amp;", ","")&amp;
IF(INDEX('ETAPA OBRA'!O:O,MATCH($B39,'ETAPA OBRA'!$B:$B,0))="x",'ETAPA OBRA'!O$1&amp;", ","")&amp;
IF(INDEX('ETAPA OBRA'!P:P,MATCH($B39,'ETAPA OBRA'!$B:$B,0))="x",'ETAPA OBRA'!P$1&amp;", ","")&amp;
IF(INDEX('ETAPA OBRA'!Q:Q,MATCH($B39,'ETAPA OBRA'!$B:$B,0))="x",'ETAPA OBRA'!Q$1&amp;", ","")&amp;
IF(INDEX('ETAPA OBRA'!R:R,MATCH($B39,'ETAPA OBRA'!$B:$B,0))="x",'ETAPA OBRA'!R$1&amp;", ","")&amp;
IF(INDEX('ETAPA OBRA'!S:S,MATCH($B39,'ETAPA OBRA'!$B:$B,0))="x",'ETAPA OBRA'!S$1&amp;", ","")&amp;
IF(INDEX('ETAPA OBRA'!T:T,MATCH($B39,'ETAPA OBRA'!$B:$B,0))="x",'ETAPA OBRA'!T$1&amp;", ","")&amp;
IF(INDEX('ETAPA OBRA'!U:U,MATCH($B39,'ETAPA OBRA'!$B:$B,0))="x",'ETAPA OBRA'!U$1&amp;", ","")
)-2),"")</f>
        <v>Finalizado</v>
      </c>
      <c r="N39" s="23" t="str">
        <f t="shared" si="5"/>
        <v>Finalizado</v>
      </c>
      <c r="O39" s="28">
        <v>22000</v>
      </c>
      <c r="P39" s="37">
        <f t="shared" si="1"/>
        <v>10221.469999999999</v>
      </c>
      <c r="Q39" s="28">
        <f t="shared" si="6"/>
        <v>11778.53</v>
      </c>
      <c r="R39" s="29">
        <f t="shared" si="7"/>
        <v>0.53538772727272732</v>
      </c>
      <c r="S39" s="23" t="str">
        <f t="shared" si="8"/>
        <v>✅ OK - Fechar Parceiro</v>
      </c>
      <c r="T39" s="23" t="str">
        <f>Cronograma[[#This Row],[STATUS]]</f>
        <v>✅ CONCLUÍDO</v>
      </c>
    </row>
    <row r="40" spans="1:20" ht="14.4" x14ac:dyDescent="0.3">
      <c r="A40" s="23" t="s">
        <v>143</v>
      </c>
      <c r="B40" s="23" t="str">
        <f>IF(A40&lt;&gt;"","contel-"&amp;TEXT(COUNTA($A$2:A40),"00"),"")</f>
        <v>contel-39</v>
      </c>
      <c r="C40" s="23" t="s">
        <v>120</v>
      </c>
      <c r="D40" s="23" t="s">
        <v>96</v>
      </c>
      <c r="E40" s="23" t="s">
        <v>97</v>
      </c>
      <c r="F40" s="52" t="s">
        <v>144</v>
      </c>
      <c r="G40" s="23">
        <v>1743</v>
      </c>
      <c r="H40" s="24">
        <v>3941</v>
      </c>
      <c r="I40" s="23" t="s">
        <v>145</v>
      </c>
      <c r="J40" s="25">
        <f>SUM(EQUIPE!C40,EQUIPE!E40,EQUIPE!G40,EQUIPE!I40,EQUIPE!K40,EQUIPE!M40,EQUIPE!O40)</f>
        <v>17500</v>
      </c>
      <c r="K40" s="25">
        <v>0</v>
      </c>
      <c r="L40" s="25">
        <v>0</v>
      </c>
      <c r="M40" s="27" t="str">
        <f>IFERROR(LEFT(
IF(INDEX('ETAPA OBRA'!C:C,MATCH($B40,'ETAPA OBRA'!$B:$B,0))="x",'ETAPA OBRA'!C$1&amp;", ","")&amp;
IF(INDEX('ETAPA OBRA'!D:D,MATCH($B40,'ETAPA OBRA'!$B:$B,0))="x",'ETAPA OBRA'!D$1&amp;", ","")&amp;
IF(INDEX('ETAPA OBRA'!F:F,MATCH($B40,'ETAPA OBRA'!$B:$B,0))="x",'ETAPA OBRA'!F$1&amp;", ","")&amp;
IF(INDEX('ETAPA OBRA'!G:G,MATCH($B40,'ETAPA OBRA'!$B:$B,0))="x",'ETAPA OBRA'!G$1&amp;", ","")&amp;
IF(INDEX('ETAPA OBRA'!H:H,MATCH($B40,'ETAPA OBRA'!$B:$B,0))="x",'ETAPA OBRA'!H$1&amp;", ","")&amp;
IF(INDEX('ETAPA OBRA'!I:I,MATCH($B40,'ETAPA OBRA'!$B:$B,0))="x",'ETAPA OBRA'!I$1&amp;", ","")&amp;
IF(INDEX('ETAPA OBRA'!J:J,MATCH($B40,'ETAPA OBRA'!$B:$B,0))="x",'ETAPA OBRA'!J$1&amp;", ","")&amp;
IF(INDEX('ETAPA OBRA'!K:K,MATCH($B40,'ETAPA OBRA'!$B:$B,0))="x",'ETAPA OBRA'!K$1&amp;", ","")&amp;
IF(INDEX('ETAPA OBRA'!L:L,MATCH($B40,'ETAPA OBRA'!$B:$B,0))="x",'ETAPA OBRA'!L$1&amp;", ","")&amp;
IF(INDEX('ETAPA OBRA'!M:M,MATCH($B40,'ETAPA OBRA'!$B:$B,0))="x",'ETAPA OBRA'!M$1&amp;", ","")&amp;
IF(INDEX('ETAPA OBRA'!N:N,MATCH($B40,'ETAPA OBRA'!$B:$B,0))="x",'ETAPA OBRA'!N$1&amp;", ","")&amp;
IF(INDEX('ETAPA OBRA'!O:O,MATCH($B40,'ETAPA OBRA'!$B:$B,0))="x",'ETAPA OBRA'!O$1&amp;", ","")&amp;
IF(INDEX('ETAPA OBRA'!P:P,MATCH($B40,'ETAPA OBRA'!$B:$B,0))="x",'ETAPA OBRA'!P$1&amp;", ","")&amp;
IF(INDEX('ETAPA OBRA'!Q:Q,MATCH($B40,'ETAPA OBRA'!$B:$B,0))="x",'ETAPA OBRA'!Q$1&amp;", ","")&amp;
IF(INDEX('ETAPA OBRA'!R:R,MATCH($B40,'ETAPA OBRA'!$B:$B,0))="x",'ETAPA OBRA'!R$1&amp;", ","")&amp;
IF(INDEX('ETAPA OBRA'!S:S,MATCH($B40,'ETAPA OBRA'!$B:$B,0))="x",'ETAPA OBRA'!S$1&amp;", ","")&amp;
IF(INDEX('ETAPA OBRA'!T:T,MATCH($B40,'ETAPA OBRA'!$B:$B,0))="x",'ETAPA OBRA'!T$1&amp;", ","")&amp;
IF(INDEX('ETAPA OBRA'!U:U,MATCH($B40,'ETAPA OBRA'!$B:$B,0))="x",'ETAPA OBRA'!U$1&amp;", ",""),LEN(
IF(INDEX('ETAPA OBRA'!C:C,MATCH($B40,'ETAPA OBRA'!$B:$B,0))="x",'ETAPA OBRA'!C$1&amp;", ","")&amp;
IF(INDEX('ETAPA OBRA'!D:D,MATCH($B40,'ETAPA OBRA'!$B:$B,0))="x",'ETAPA OBRA'!D$1&amp;", ","")&amp;
IF(INDEX('ETAPA OBRA'!F:F,MATCH($B40,'ETAPA OBRA'!$B:$B,0))="x",'ETAPA OBRA'!F$1&amp;", ","")&amp;
IF(INDEX('ETAPA OBRA'!G:G,MATCH($B40,'ETAPA OBRA'!$B:$B,0))="x",'ETAPA OBRA'!G$1&amp;", ","")&amp;
IF(INDEX('ETAPA OBRA'!H:H,MATCH($B40,'ETAPA OBRA'!$B:$B,0))="x",'ETAPA OBRA'!H$1&amp;", ","")&amp;
IF(INDEX('ETAPA OBRA'!I:I,MATCH($B40,'ETAPA OBRA'!$B:$B,0))="x",'ETAPA OBRA'!I$1&amp;", ","")&amp;
IF(INDEX('ETAPA OBRA'!J:J,MATCH($B40,'ETAPA OBRA'!$B:$B,0))="x",'ETAPA OBRA'!J$1&amp;", ","")&amp;
IF(INDEX('ETAPA OBRA'!K:K,MATCH($B40,'ETAPA OBRA'!$B:$B,0))="x",'ETAPA OBRA'!K$1&amp;", ","")&amp;
IF(INDEX('ETAPA OBRA'!L:L,MATCH($B40,'ETAPA OBRA'!$B:$B,0))="x",'ETAPA OBRA'!L$1&amp;", ","")&amp;
IF(INDEX('ETAPA OBRA'!M:M,MATCH($B40,'ETAPA OBRA'!$B:$B,0))="x",'ETAPA OBRA'!M$1&amp;", ","")&amp;
IF(INDEX('ETAPA OBRA'!N:N,MATCH($B40,'ETAPA OBRA'!$B:$B,0))="x",'ETAPA OBRA'!N$1&amp;", ","")&amp;
IF(INDEX('ETAPA OBRA'!O:O,MATCH($B40,'ETAPA OBRA'!$B:$B,0))="x",'ETAPA OBRA'!O$1&amp;", ","")&amp;
IF(INDEX('ETAPA OBRA'!P:P,MATCH($B40,'ETAPA OBRA'!$B:$B,0))="x",'ETAPA OBRA'!P$1&amp;", ","")&amp;
IF(INDEX('ETAPA OBRA'!Q:Q,MATCH($B40,'ETAPA OBRA'!$B:$B,0))="x",'ETAPA OBRA'!Q$1&amp;", ","")&amp;
IF(INDEX('ETAPA OBRA'!R:R,MATCH($B40,'ETAPA OBRA'!$B:$B,0))="x",'ETAPA OBRA'!R$1&amp;", ","")&amp;
IF(INDEX('ETAPA OBRA'!S:S,MATCH($B40,'ETAPA OBRA'!$B:$B,0))="x",'ETAPA OBRA'!S$1&amp;", ","")&amp;
IF(INDEX('ETAPA OBRA'!T:T,MATCH($B40,'ETAPA OBRA'!$B:$B,0))="x",'ETAPA OBRA'!T$1&amp;", ","")&amp;
IF(INDEX('ETAPA OBRA'!U:U,MATCH($B40,'ETAPA OBRA'!$B:$B,0))="x",'ETAPA OBRA'!U$1&amp;", ","")
)-2),"")</f>
        <v>Finalizado</v>
      </c>
      <c r="N40" s="23" t="str">
        <f t="shared" si="5"/>
        <v>Finalizado</v>
      </c>
      <c r="O40" s="28">
        <v>39109.17</v>
      </c>
      <c r="P40" s="37">
        <f t="shared" si="1"/>
        <v>17500</v>
      </c>
      <c r="Q40" s="28">
        <f t="shared" si="6"/>
        <v>21609.17</v>
      </c>
      <c r="R40" s="29">
        <f t="shared" si="7"/>
        <v>0.55253461016943084</v>
      </c>
      <c r="S40" s="23" t="str">
        <f t="shared" si="8"/>
        <v>✅ OK - Fechar Parceiro</v>
      </c>
      <c r="T40" s="23" t="str">
        <f>Cronograma[[#This Row],[STATUS]]</f>
        <v>✅ CONCLUÍDO</v>
      </c>
    </row>
    <row r="41" spans="1:20" ht="14.4" x14ac:dyDescent="0.3">
      <c r="A41" s="23" t="s">
        <v>146</v>
      </c>
      <c r="B41" s="23" t="str">
        <f>IF(A41&lt;&gt;"","contel-"&amp;TEXT(COUNTA($A$2:A41),"00"),"")</f>
        <v>contel-40</v>
      </c>
      <c r="C41" s="23" t="s">
        <v>21</v>
      </c>
      <c r="D41" s="23" t="s">
        <v>147</v>
      </c>
      <c r="E41" s="23" t="s">
        <v>132</v>
      </c>
      <c r="F41" s="52" t="s">
        <v>148</v>
      </c>
      <c r="G41" s="23">
        <v>1744</v>
      </c>
      <c r="H41" s="24">
        <v>15956</v>
      </c>
      <c r="I41" s="23" t="s">
        <v>63</v>
      </c>
      <c r="J41" s="25">
        <f>SUM(EQUIPE!C41,EQUIPE!E41,EQUIPE!G41,EQUIPE!I41,EQUIPE!K41,EQUIPE!M41,EQUIPE!O41)</f>
        <v>7000</v>
      </c>
      <c r="K41" s="25">
        <v>384.22</v>
      </c>
      <c r="L41" s="25">
        <v>182.42</v>
      </c>
      <c r="M41" s="27" t="str">
        <f>IFERROR(LEFT(
IF(INDEX('ETAPA OBRA'!C:C,MATCH($B41,'ETAPA OBRA'!$B:$B,0))="x",'ETAPA OBRA'!C$1&amp;", ","")&amp;
IF(INDEX('ETAPA OBRA'!D:D,MATCH($B41,'ETAPA OBRA'!$B:$B,0))="x",'ETAPA OBRA'!D$1&amp;", ","")&amp;
IF(INDEX('ETAPA OBRA'!F:F,MATCH($B41,'ETAPA OBRA'!$B:$B,0))="x",'ETAPA OBRA'!F$1&amp;", ","")&amp;
IF(INDEX('ETAPA OBRA'!G:G,MATCH($B41,'ETAPA OBRA'!$B:$B,0))="x",'ETAPA OBRA'!G$1&amp;", ","")&amp;
IF(INDEX('ETAPA OBRA'!H:H,MATCH($B41,'ETAPA OBRA'!$B:$B,0))="x",'ETAPA OBRA'!H$1&amp;", ","")&amp;
IF(INDEX('ETAPA OBRA'!I:I,MATCH($B41,'ETAPA OBRA'!$B:$B,0))="x",'ETAPA OBRA'!I$1&amp;", ","")&amp;
IF(INDEX('ETAPA OBRA'!J:J,MATCH($B41,'ETAPA OBRA'!$B:$B,0))="x",'ETAPA OBRA'!J$1&amp;", ","")&amp;
IF(INDEX('ETAPA OBRA'!K:K,MATCH($B41,'ETAPA OBRA'!$B:$B,0))="x",'ETAPA OBRA'!K$1&amp;", ","")&amp;
IF(INDEX('ETAPA OBRA'!L:L,MATCH($B41,'ETAPA OBRA'!$B:$B,0))="x",'ETAPA OBRA'!L$1&amp;", ","")&amp;
IF(INDEX('ETAPA OBRA'!M:M,MATCH($B41,'ETAPA OBRA'!$B:$B,0))="x",'ETAPA OBRA'!M$1&amp;", ","")&amp;
IF(INDEX('ETAPA OBRA'!N:N,MATCH($B41,'ETAPA OBRA'!$B:$B,0))="x",'ETAPA OBRA'!N$1&amp;", ","")&amp;
IF(INDEX('ETAPA OBRA'!O:O,MATCH($B41,'ETAPA OBRA'!$B:$B,0))="x",'ETAPA OBRA'!O$1&amp;", ","")&amp;
IF(INDEX('ETAPA OBRA'!P:P,MATCH($B41,'ETAPA OBRA'!$B:$B,0))="x",'ETAPA OBRA'!P$1&amp;", ","")&amp;
IF(INDEX('ETAPA OBRA'!Q:Q,MATCH($B41,'ETAPA OBRA'!$B:$B,0))="x",'ETAPA OBRA'!Q$1&amp;", ","")&amp;
IF(INDEX('ETAPA OBRA'!R:R,MATCH($B41,'ETAPA OBRA'!$B:$B,0))="x",'ETAPA OBRA'!R$1&amp;", ","")&amp;
IF(INDEX('ETAPA OBRA'!S:S,MATCH($B41,'ETAPA OBRA'!$B:$B,0))="x",'ETAPA OBRA'!S$1&amp;", ","")&amp;
IF(INDEX('ETAPA OBRA'!T:T,MATCH($B41,'ETAPA OBRA'!$B:$B,0))="x",'ETAPA OBRA'!T$1&amp;", ","")&amp;
IF(INDEX('ETAPA OBRA'!U:U,MATCH($B41,'ETAPA OBRA'!$B:$B,0))="x",'ETAPA OBRA'!U$1&amp;", ",""),LEN(
IF(INDEX('ETAPA OBRA'!C:C,MATCH($B41,'ETAPA OBRA'!$B:$B,0))="x",'ETAPA OBRA'!C$1&amp;", ","")&amp;
IF(INDEX('ETAPA OBRA'!D:D,MATCH($B41,'ETAPA OBRA'!$B:$B,0))="x",'ETAPA OBRA'!D$1&amp;", ","")&amp;
IF(INDEX('ETAPA OBRA'!F:F,MATCH($B41,'ETAPA OBRA'!$B:$B,0))="x",'ETAPA OBRA'!F$1&amp;", ","")&amp;
IF(INDEX('ETAPA OBRA'!G:G,MATCH($B41,'ETAPA OBRA'!$B:$B,0))="x",'ETAPA OBRA'!G$1&amp;", ","")&amp;
IF(INDEX('ETAPA OBRA'!H:H,MATCH($B41,'ETAPA OBRA'!$B:$B,0))="x",'ETAPA OBRA'!H$1&amp;", ","")&amp;
IF(INDEX('ETAPA OBRA'!I:I,MATCH($B41,'ETAPA OBRA'!$B:$B,0))="x",'ETAPA OBRA'!I$1&amp;", ","")&amp;
IF(INDEX('ETAPA OBRA'!J:J,MATCH($B41,'ETAPA OBRA'!$B:$B,0))="x",'ETAPA OBRA'!J$1&amp;", ","")&amp;
IF(INDEX('ETAPA OBRA'!K:K,MATCH($B41,'ETAPA OBRA'!$B:$B,0))="x",'ETAPA OBRA'!K$1&amp;", ","")&amp;
IF(INDEX('ETAPA OBRA'!L:L,MATCH($B41,'ETAPA OBRA'!$B:$B,0))="x",'ETAPA OBRA'!L$1&amp;", ","")&amp;
IF(INDEX('ETAPA OBRA'!M:M,MATCH($B41,'ETAPA OBRA'!$B:$B,0))="x",'ETAPA OBRA'!M$1&amp;", ","")&amp;
IF(INDEX('ETAPA OBRA'!N:N,MATCH($B41,'ETAPA OBRA'!$B:$B,0))="x",'ETAPA OBRA'!N$1&amp;", ","")&amp;
IF(INDEX('ETAPA OBRA'!O:O,MATCH($B41,'ETAPA OBRA'!$B:$B,0))="x",'ETAPA OBRA'!O$1&amp;", ","")&amp;
IF(INDEX('ETAPA OBRA'!P:P,MATCH($B41,'ETAPA OBRA'!$B:$B,0))="x",'ETAPA OBRA'!P$1&amp;", ","")&amp;
IF(INDEX('ETAPA OBRA'!Q:Q,MATCH($B41,'ETAPA OBRA'!$B:$B,0))="x",'ETAPA OBRA'!Q$1&amp;", ","")&amp;
IF(INDEX('ETAPA OBRA'!R:R,MATCH($B41,'ETAPA OBRA'!$B:$B,0))="x",'ETAPA OBRA'!R$1&amp;", ","")&amp;
IF(INDEX('ETAPA OBRA'!S:S,MATCH($B41,'ETAPA OBRA'!$B:$B,0))="x",'ETAPA OBRA'!S$1&amp;", ","")&amp;
IF(INDEX('ETAPA OBRA'!T:T,MATCH($B41,'ETAPA OBRA'!$B:$B,0))="x",'ETAPA OBRA'!T$1&amp;", ","")&amp;
IF(INDEX('ETAPA OBRA'!U:U,MATCH($B41,'ETAPA OBRA'!$B:$B,0))="x",'ETAPA OBRA'!U$1&amp;", ","")
)-2),"")</f>
        <v>Finalizado</v>
      </c>
      <c r="N41" s="23" t="str">
        <f t="shared" si="5"/>
        <v>Finalizado</v>
      </c>
      <c r="O41" s="28">
        <v>22240.32</v>
      </c>
      <c r="P41" s="37">
        <f t="shared" si="1"/>
        <v>7566.64</v>
      </c>
      <c r="Q41" s="28">
        <f t="shared" si="6"/>
        <v>14673.68</v>
      </c>
      <c r="R41" s="29">
        <f t="shared" si="7"/>
        <v>0.65977827657156018</v>
      </c>
      <c r="S41" s="23" t="str">
        <f t="shared" si="8"/>
        <v>✅ OK - Fechar Parceiro</v>
      </c>
      <c r="T41" s="23" t="str">
        <f>Cronograma[[#This Row],[STATUS]]</f>
        <v>✅ CONCLUÍDO</v>
      </c>
    </row>
    <row r="42" spans="1:20" ht="14.4" x14ac:dyDescent="0.3">
      <c r="A42" s="23" t="s">
        <v>149</v>
      </c>
      <c r="B42" s="23" t="str">
        <f>IF(A42&lt;&gt;"","contel-"&amp;TEXT(COUNTA($A$2:A42),"00"),"")</f>
        <v>contel-41</v>
      </c>
      <c r="C42" s="23" t="s">
        <v>150</v>
      </c>
      <c r="D42" s="23" t="s">
        <v>151</v>
      </c>
      <c r="E42" s="23" t="s">
        <v>75</v>
      </c>
      <c r="F42" s="52" t="s">
        <v>152</v>
      </c>
      <c r="G42" s="23">
        <v>1745</v>
      </c>
      <c r="H42" s="24">
        <v>15969</v>
      </c>
      <c r="I42" s="23" t="s">
        <v>34</v>
      </c>
      <c r="J42" s="25">
        <f>SUM(EQUIPE!C42,EQUIPE!E42,EQUIPE!G42,EQUIPE!I42,EQUIPE!K42,EQUIPE!M42,EQUIPE!O42)</f>
        <v>16000</v>
      </c>
      <c r="K42" s="25">
        <v>0</v>
      </c>
      <c r="L42" s="25">
        <v>421.47</v>
      </c>
      <c r="M42" s="27" t="str">
        <f>IFERROR(LEFT(
IF(INDEX('ETAPA OBRA'!C:C,MATCH($B42,'ETAPA OBRA'!$B:$B,0))="x",'ETAPA OBRA'!C$1&amp;", ","")&amp;
IF(INDEX('ETAPA OBRA'!D:D,MATCH($B42,'ETAPA OBRA'!$B:$B,0))="x",'ETAPA OBRA'!D$1&amp;", ","")&amp;
IF(INDEX('ETAPA OBRA'!F:F,MATCH($B42,'ETAPA OBRA'!$B:$B,0))="x",'ETAPA OBRA'!F$1&amp;", ","")&amp;
IF(INDEX('ETAPA OBRA'!G:G,MATCH($B42,'ETAPA OBRA'!$B:$B,0))="x",'ETAPA OBRA'!G$1&amp;", ","")&amp;
IF(INDEX('ETAPA OBRA'!H:H,MATCH($B42,'ETAPA OBRA'!$B:$B,0))="x",'ETAPA OBRA'!H$1&amp;", ","")&amp;
IF(INDEX('ETAPA OBRA'!I:I,MATCH($B42,'ETAPA OBRA'!$B:$B,0))="x",'ETAPA OBRA'!I$1&amp;", ","")&amp;
IF(INDEX('ETAPA OBRA'!J:J,MATCH($B42,'ETAPA OBRA'!$B:$B,0))="x",'ETAPA OBRA'!J$1&amp;", ","")&amp;
IF(INDEX('ETAPA OBRA'!K:K,MATCH($B42,'ETAPA OBRA'!$B:$B,0))="x",'ETAPA OBRA'!K$1&amp;", ","")&amp;
IF(INDEX('ETAPA OBRA'!L:L,MATCH($B42,'ETAPA OBRA'!$B:$B,0))="x",'ETAPA OBRA'!L$1&amp;", ","")&amp;
IF(INDEX('ETAPA OBRA'!M:M,MATCH($B42,'ETAPA OBRA'!$B:$B,0))="x",'ETAPA OBRA'!M$1&amp;", ","")&amp;
IF(INDEX('ETAPA OBRA'!N:N,MATCH($B42,'ETAPA OBRA'!$B:$B,0))="x",'ETAPA OBRA'!N$1&amp;", ","")&amp;
IF(INDEX('ETAPA OBRA'!O:O,MATCH($B42,'ETAPA OBRA'!$B:$B,0))="x",'ETAPA OBRA'!O$1&amp;", ","")&amp;
IF(INDEX('ETAPA OBRA'!P:P,MATCH($B42,'ETAPA OBRA'!$B:$B,0))="x",'ETAPA OBRA'!P$1&amp;", ","")&amp;
IF(INDEX('ETAPA OBRA'!Q:Q,MATCH($B42,'ETAPA OBRA'!$B:$B,0))="x",'ETAPA OBRA'!Q$1&amp;", ","")&amp;
IF(INDEX('ETAPA OBRA'!R:R,MATCH($B42,'ETAPA OBRA'!$B:$B,0))="x",'ETAPA OBRA'!R$1&amp;", ","")&amp;
IF(INDEX('ETAPA OBRA'!S:S,MATCH($B42,'ETAPA OBRA'!$B:$B,0))="x",'ETAPA OBRA'!S$1&amp;", ","")&amp;
IF(INDEX('ETAPA OBRA'!T:T,MATCH($B42,'ETAPA OBRA'!$B:$B,0))="x",'ETAPA OBRA'!T$1&amp;", ","")&amp;
IF(INDEX('ETAPA OBRA'!U:U,MATCH($B42,'ETAPA OBRA'!$B:$B,0))="x",'ETAPA OBRA'!U$1&amp;", ",""),LEN(
IF(INDEX('ETAPA OBRA'!C:C,MATCH($B42,'ETAPA OBRA'!$B:$B,0))="x",'ETAPA OBRA'!C$1&amp;", ","")&amp;
IF(INDEX('ETAPA OBRA'!D:D,MATCH($B42,'ETAPA OBRA'!$B:$B,0))="x",'ETAPA OBRA'!D$1&amp;", ","")&amp;
IF(INDEX('ETAPA OBRA'!F:F,MATCH($B42,'ETAPA OBRA'!$B:$B,0))="x",'ETAPA OBRA'!F$1&amp;", ","")&amp;
IF(INDEX('ETAPA OBRA'!G:G,MATCH($B42,'ETAPA OBRA'!$B:$B,0))="x",'ETAPA OBRA'!G$1&amp;", ","")&amp;
IF(INDEX('ETAPA OBRA'!H:H,MATCH($B42,'ETAPA OBRA'!$B:$B,0))="x",'ETAPA OBRA'!H$1&amp;", ","")&amp;
IF(INDEX('ETAPA OBRA'!I:I,MATCH($B42,'ETAPA OBRA'!$B:$B,0))="x",'ETAPA OBRA'!I$1&amp;", ","")&amp;
IF(INDEX('ETAPA OBRA'!J:J,MATCH($B42,'ETAPA OBRA'!$B:$B,0))="x",'ETAPA OBRA'!J$1&amp;", ","")&amp;
IF(INDEX('ETAPA OBRA'!K:K,MATCH($B42,'ETAPA OBRA'!$B:$B,0))="x",'ETAPA OBRA'!K$1&amp;", ","")&amp;
IF(INDEX('ETAPA OBRA'!L:L,MATCH($B42,'ETAPA OBRA'!$B:$B,0))="x",'ETAPA OBRA'!L$1&amp;", ","")&amp;
IF(INDEX('ETAPA OBRA'!M:M,MATCH($B42,'ETAPA OBRA'!$B:$B,0))="x",'ETAPA OBRA'!M$1&amp;", ","")&amp;
IF(INDEX('ETAPA OBRA'!N:N,MATCH($B42,'ETAPA OBRA'!$B:$B,0))="x",'ETAPA OBRA'!N$1&amp;", ","")&amp;
IF(INDEX('ETAPA OBRA'!O:O,MATCH($B42,'ETAPA OBRA'!$B:$B,0))="x",'ETAPA OBRA'!O$1&amp;", ","")&amp;
IF(INDEX('ETAPA OBRA'!P:P,MATCH($B42,'ETAPA OBRA'!$B:$B,0))="x",'ETAPA OBRA'!P$1&amp;", ","")&amp;
IF(INDEX('ETAPA OBRA'!Q:Q,MATCH($B42,'ETAPA OBRA'!$B:$B,0))="x",'ETAPA OBRA'!Q$1&amp;", ","")&amp;
IF(INDEX('ETAPA OBRA'!R:R,MATCH($B42,'ETAPA OBRA'!$B:$B,0))="x",'ETAPA OBRA'!R$1&amp;", ","")&amp;
IF(INDEX('ETAPA OBRA'!S:S,MATCH($B42,'ETAPA OBRA'!$B:$B,0))="x",'ETAPA OBRA'!S$1&amp;", ","")&amp;
IF(INDEX('ETAPA OBRA'!T:T,MATCH($B42,'ETAPA OBRA'!$B:$B,0))="x",'ETAPA OBRA'!T$1&amp;", ","")&amp;
IF(INDEX('ETAPA OBRA'!U:U,MATCH($B42,'ETAPA OBRA'!$B:$B,0))="x",'ETAPA OBRA'!U$1&amp;", ","")
)-2),"")</f>
        <v>Finalizado</v>
      </c>
      <c r="N42" s="23" t="str">
        <f t="shared" si="5"/>
        <v>Finalizado</v>
      </c>
      <c r="O42" s="28">
        <v>26212.400000000001</v>
      </c>
      <c r="P42" s="37">
        <f t="shared" si="1"/>
        <v>16421.47</v>
      </c>
      <c r="Q42" s="28">
        <f t="shared" si="6"/>
        <v>9790.93</v>
      </c>
      <c r="R42" s="29">
        <f t="shared" si="7"/>
        <v>0.37352283652012025</v>
      </c>
      <c r="S42" s="23" t="str">
        <f t="shared" si="8"/>
        <v>✅ OK - Fechar Parceiro</v>
      </c>
      <c r="T42" s="23" t="str">
        <f>Cronograma[[#This Row],[STATUS]]</f>
        <v>✅ CONCLUÍDO</v>
      </c>
    </row>
    <row r="43" spans="1:20" ht="14.4" x14ac:dyDescent="0.3">
      <c r="A43" s="23" t="s">
        <v>153</v>
      </c>
      <c r="B43" s="23" t="str">
        <f>IF(A43&lt;&gt;"","contel-"&amp;TEXT(COUNTA($A$2:A43),"00"),"")</f>
        <v>contel-42</v>
      </c>
      <c r="C43" s="23" t="s">
        <v>21</v>
      </c>
      <c r="D43" s="23" t="s">
        <v>154</v>
      </c>
      <c r="E43" s="23" t="s">
        <v>75</v>
      </c>
      <c r="F43" s="52" t="s">
        <v>155</v>
      </c>
      <c r="G43" s="23">
        <v>1749</v>
      </c>
      <c r="H43" s="24">
        <v>16079</v>
      </c>
      <c r="I43" s="23" t="s">
        <v>25</v>
      </c>
      <c r="J43" s="25">
        <f>SUM(EQUIPE!C43,EQUIPE!E43,EQUIPE!G43,EQUIPE!I43,EQUIPE!K43,EQUIPE!M43,EQUIPE!O43)</f>
        <v>9100</v>
      </c>
      <c r="K43" s="25">
        <v>5494.36</v>
      </c>
      <c r="L43" s="25">
        <v>3138.76</v>
      </c>
      <c r="M43" s="27" t="str">
        <f>IFERROR(LEFT(
IF(INDEX('ETAPA OBRA'!C:C,MATCH($B43,'ETAPA OBRA'!$B:$B,0))="x",'ETAPA OBRA'!C$1&amp;", ","")&amp;
IF(INDEX('ETAPA OBRA'!D:D,MATCH($B43,'ETAPA OBRA'!$B:$B,0))="x",'ETAPA OBRA'!D$1&amp;", ","")&amp;
IF(INDEX('ETAPA OBRA'!F:F,MATCH($B43,'ETAPA OBRA'!$B:$B,0))="x",'ETAPA OBRA'!F$1&amp;", ","")&amp;
IF(INDEX('ETAPA OBRA'!G:G,MATCH($B43,'ETAPA OBRA'!$B:$B,0))="x",'ETAPA OBRA'!G$1&amp;", ","")&amp;
IF(INDEX('ETAPA OBRA'!H:H,MATCH($B43,'ETAPA OBRA'!$B:$B,0))="x",'ETAPA OBRA'!H$1&amp;", ","")&amp;
IF(INDEX('ETAPA OBRA'!I:I,MATCH($B43,'ETAPA OBRA'!$B:$B,0))="x",'ETAPA OBRA'!I$1&amp;", ","")&amp;
IF(INDEX('ETAPA OBRA'!J:J,MATCH($B43,'ETAPA OBRA'!$B:$B,0))="x",'ETAPA OBRA'!J$1&amp;", ","")&amp;
IF(INDEX('ETAPA OBRA'!K:K,MATCH($B43,'ETAPA OBRA'!$B:$B,0))="x",'ETAPA OBRA'!K$1&amp;", ","")&amp;
IF(INDEX('ETAPA OBRA'!L:L,MATCH($B43,'ETAPA OBRA'!$B:$B,0))="x",'ETAPA OBRA'!L$1&amp;", ","")&amp;
IF(INDEX('ETAPA OBRA'!M:M,MATCH($B43,'ETAPA OBRA'!$B:$B,0))="x",'ETAPA OBRA'!M$1&amp;", ","")&amp;
IF(INDEX('ETAPA OBRA'!N:N,MATCH($B43,'ETAPA OBRA'!$B:$B,0))="x",'ETAPA OBRA'!N$1&amp;", ","")&amp;
IF(INDEX('ETAPA OBRA'!O:O,MATCH($B43,'ETAPA OBRA'!$B:$B,0))="x",'ETAPA OBRA'!O$1&amp;", ","")&amp;
IF(INDEX('ETAPA OBRA'!P:P,MATCH($B43,'ETAPA OBRA'!$B:$B,0))="x",'ETAPA OBRA'!P$1&amp;", ","")&amp;
IF(INDEX('ETAPA OBRA'!Q:Q,MATCH($B43,'ETAPA OBRA'!$B:$B,0))="x",'ETAPA OBRA'!Q$1&amp;", ","")&amp;
IF(INDEX('ETAPA OBRA'!R:R,MATCH($B43,'ETAPA OBRA'!$B:$B,0))="x",'ETAPA OBRA'!R$1&amp;", ","")&amp;
IF(INDEX('ETAPA OBRA'!S:S,MATCH($B43,'ETAPA OBRA'!$B:$B,0))="x",'ETAPA OBRA'!S$1&amp;", ","")&amp;
IF(INDEX('ETAPA OBRA'!T:T,MATCH($B43,'ETAPA OBRA'!$B:$B,0))="x",'ETAPA OBRA'!T$1&amp;", ","")&amp;
IF(INDEX('ETAPA OBRA'!U:U,MATCH($B43,'ETAPA OBRA'!$B:$B,0))="x",'ETAPA OBRA'!U$1&amp;", ",""),LEN(
IF(INDEX('ETAPA OBRA'!C:C,MATCH($B43,'ETAPA OBRA'!$B:$B,0))="x",'ETAPA OBRA'!C$1&amp;", ","")&amp;
IF(INDEX('ETAPA OBRA'!D:D,MATCH($B43,'ETAPA OBRA'!$B:$B,0))="x",'ETAPA OBRA'!D$1&amp;", ","")&amp;
IF(INDEX('ETAPA OBRA'!F:F,MATCH($B43,'ETAPA OBRA'!$B:$B,0))="x",'ETAPA OBRA'!F$1&amp;", ","")&amp;
IF(INDEX('ETAPA OBRA'!G:G,MATCH($B43,'ETAPA OBRA'!$B:$B,0))="x",'ETAPA OBRA'!G$1&amp;", ","")&amp;
IF(INDEX('ETAPA OBRA'!H:H,MATCH($B43,'ETAPA OBRA'!$B:$B,0))="x",'ETAPA OBRA'!H$1&amp;", ","")&amp;
IF(INDEX('ETAPA OBRA'!I:I,MATCH($B43,'ETAPA OBRA'!$B:$B,0))="x",'ETAPA OBRA'!I$1&amp;", ","")&amp;
IF(INDEX('ETAPA OBRA'!J:J,MATCH($B43,'ETAPA OBRA'!$B:$B,0))="x",'ETAPA OBRA'!J$1&amp;", ","")&amp;
IF(INDEX('ETAPA OBRA'!K:K,MATCH($B43,'ETAPA OBRA'!$B:$B,0))="x",'ETAPA OBRA'!K$1&amp;", ","")&amp;
IF(INDEX('ETAPA OBRA'!L:L,MATCH($B43,'ETAPA OBRA'!$B:$B,0))="x",'ETAPA OBRA'!L$1&amp;", ","")&amp;
IF(INDEX('ETAPA OBRA'!M:M,MATCH($B43,'ETAPA OBRA'!$B:$B,0))="x",'ETAPA OBRA'!M$1&amp;", ","")&amp;
IF(INDEX('ETAPA OBRA'!N:N,MATCH($B43,'ETAPA OBRA'!$B:$B,0))="x",'ETAPA OBRA'!N$1&amp;", ","")&amp;
IF(INDEX('ETAPA OBRA'!O:O,MATCH($B43,'ETAPA OBRA'!$B:$B,0))="x",'ETAPA OBRA'!O$1&amp;", ","")&amp;
IF(INDEX('ETAPA OBRA'!P:P,MATCH($B43,'ETAPA OBRA'!$B:$B,0))="x",'ETAPA OBRA'!P$1&amp;", ","")&amp;
IF(INDEX('ETAPA OBRA'!Q:Q,MATCH($B43,'ETAPA OBRA'!$B:$B,0))="x",'ETAPA OBRA'!Q$1&amp;", ","")&amp;
IF(INDEX('ETAPA OBRA'!R:R,MATCH($B43,'ETAPA OBRA'!$B:$B,0))="x",'ETAPA OBRA'!R$1&amp;", ","")&amp;
IF(INDEX('ETAPA OBRA'!S:S,MATCH($B43,'ETAPA OBRA'!$B:$B,0))="x",'ETAPA OBRA'!S$1&amp;", ","")&amp;
IF(INDEX('ETAPA OBRA'!T:T,MATCH($B43,'ETAPA OBRA'!$B:$B,0))="x",'ETAPA OBRA'!T$1&amp;", ","")&amp;
IF(INDEX('ETAPA OBRA'!U:U,MATCH($B43,'ETAPA OBRA'!$B:$B,0))="x",'ETAPA OBRA'!U$1&amp;", ","")
)-2),"")</f>
        <v>Finalizado</v>
      </c>
      <c r="N43" s="23" t="str">
        <f t="shared" si="5"/>
        <v>Finalizado</v>
      </c>
      <c r="O43" s="28">
        <v>24000</v>
      </c>
      <c r="P43" s="37">
        <f t="shared" si="1"/>
        <v>17733.120000000003</v>
      </c>
      <c r="Q43" s="28">
        <f t="shared" si="6"/>
        <v>6266.8799999999974</v>
      </c>
      <c r="R43" s="29">
        <f t="shared" si="7"/>
        <v>0.26111999999999991</v>
      </c>
      <c r="S43" s="23" t="str">
        <f t="shared" si="8"/>
        <v>✅ OK - Fechar Parceiro</v>
      </c>
      <c r="T43" s="23" t="str">
        <f>Cronograma[[#This Row],[STATUS]]</f>
        <v>✅ CONCLUÍDO</v>
      </c>
    </row>
    <row r="44" spans="1:20" ht="14.4" x14ac:dyDescent="0.3">
      <c r="A44" s="23" t="s">
        <v>156</v>
      </c>
      <c r="B44" s="23" t="str">
        <f>IF(A44&lt;&gt;"","contel-"&amp;TEXT(COUNTA($A$2:A44),"00"),"")</f>
        <v>contel-43</v>
      </c>
      <c r="C44" s="23" t="s">
        <v>21</v>
      </c>
      <c r="D44" s="23" t="s">
        <v>96</v>
      </c>
      <c r="E44" s="23" t="s">
        <v>97</v>
      </c>
      <c r="F44" s="52" t="s">
        <v>157</v>
      </c>
      <c r="G44" s="23">
        <v>1750</v>
      </c>
      <c r="H44" s="30">
        <v>26516</v>
      </c>
      <c r="I44" s="23" t="s">
        <v>25</v>
      </c>
      <c r="J44" s="25">
        <f>SUM(EQUIPE!C44,EQUIPE!E44,EQUIPE!G44,EQUIPE!I44,EQUIPE!K44,EQUIPE!M44,EQUIPE!O44)</f>
        <v>4300</v>
      </c>
      <c r="K44" s="25">
        <v>603.87</v>
      </c>
      <c r="L44" s="25">
        <v>356.38</v>
      </c>
      <c r="M44" s="27" t="str">
        <f>IFERROR(LEFT(
IF(INDEX('ETAPA OBRA'!C:C,MATCH($B44,'ETAPA OBRA'!$B:$B,0))="x",'ETAPA OBRA'!C$1&amp;", ","")&amp;
IF(INDEX('ETAPA OBRA'!D:D,MATCH($B44,'ETAPA OBRA'!$B:$B,0))="x",'ETAPA OBRA'!D$1&amp;", ","")&amp;
IF(INDEX('ETAPA OBRA'!F:F,MATCH($B44,'ETAPA OBRA'!$B:$B,0))="x",'ETAPA OBRA'!F$1&amp;", ","")&amp;
IF(INDEX('ETAPA OBRA'!G:G,MATCH($B44,'ETAPA OBRA'!$B:$B,0))="x",'ETAPA OBRA'!G$1&amp;", ","")&amp;
IF(INDEX('ETAPA OBRA'!H:H,MATCH($B44,'ETAPA OBRA'!$B:$B,0))="x",'ETAPA OBRA'!H$1&amp;", ","")&amp;
IF(INDEX('ETAPA OBRA'!I:I,MATCH($B44,'ETAPA OBRA'!$B:$B,0))="x",'ETAPA OBRA'!I$1&amp;", ","")&amp;
IF(INDEX('ETAPA OBRA'!J:J,MATCH($B44,'ETAPA OBRA'!$B:$B,0))="x",'ETAPA OBRA'!J$1&amp;", ","")&amp;
IF(INDEX('ETAPA OBRA'!K:K,MATCH($B44,'ETAPA OBRA'!$B:$B,0))="x",'ETAPA OBRA'!K$1&amp;", ","")&amp;
IF(INDEX('ETAPA OBRA'!L:L,MATCH($B44,'ETAPA OBRA'!$B:$B,0))="x",'ETAPA OBRA'!L$1&amp;", ","")&amp;
IF(INDEX('ETAPA OBRA'!M:M,MATCH($B44,'ETAPA OBRA'!$B:$B,0))="x",'ETAPA OBRA'!M$1&amp;", ","")&amp;
IF(INDEX('ETAPA OBRA'!N:N,MATCH($B44,'ETAPA OBRA'!$B:$B,0))="x",'ETAPA OBRA'!N$1&amp;", ","")&amp;
IF(INDEX('ETAPA OBRA'!O:O,MATCH($B44,'ETAPA OBRA'!$B:$B,0))="x",'ETAPA OBRA'!O$1&amp;", ","")&amp;
IF(INDEX('ETAPA OBRA'!P:P,MATCH($B44,'ETAPA OBRA'!$B:$B,0))="x",'ETAPA OBRA'!P$1&amp;", ","")&amp;
IF(INDEX('ETAPA OBRA'!Q:Q,MATCH($B44,'ETAPA OBRA'!$B:$B,0))="x",'ETAPA OBRA'!Q$1&amp;", ","")&amp;
IF(INDEX('ETAPA OBRA'!R:R,MATCH($B44,'ETAPA OBRA'!$B:$B,0))="x",'ETAPA OBRA'!R$1&amp;", ","")&amp;
IF(INDEX('ETAPA OBRA'!S:S,MATCH($B44,'ETAPA OBRA'!$B:$B,0))="x",'ETAPA OBRA'!S$1&amp;", ","")&amp;
IF(INDEX('ETAPA OBRA'!T:T,MATCH($B44,'ETAPA OBRA'!$B:$B,0))="x",'ETAPA OBRA'!T$1&amp;", ","")&amp;
IF(INDEX('ETAPA OBRA'!U:U,MATCH($B44,'ETAPA OBRA'!$B:$B,0))="x",'ETAPA OBRA'!U$1&amp;", ",""),LEN(
IF(INDEX('ETAPA OBRA'!C:C,MATCH($B44,'ETAPA OBRA'!$B:$B,0))="x",'ETAPA OBRA'!C$1&amp;", ","")&amp;
IF(INDEX('ETAPA OBRA'!D:D,MATCH($B44,'ETAPA OBRA'!$B:$B,0))="x",'ETAPA OBRA'!D$1&amp;", ","")&amp;
IF(INDEX('ETAPA OBRA'!F:F,MATCH($B44,'ETAPA OBRA'!$B:$B,0))="x",'ETAPA OBRA'!F$1&amp;", ","")&amp;
IF(INDEX('ETAPA OBRA'!G:G,MATCH($B44,'ETAPA OBRA'!$B:$B,0))="x",'ETAPA OBRA'!G$1&amp;", ","")&amp;
IF(INDEX('ETAPA OBRA'!H:H,MATCH($B44,'ETAPA OBRA'!$B:$B,0))="x",'ETAPA OBRA'!H$1&amp;", ","")&amp;
IF(INDEX('ETAPA OBRA'!I:I,MATCH($B44,'ETAPA OBRA'!$B:$B,0))="x",'ETAPA OBRA'!I$1&amp;", ","")&amp;
IF(INDEX('ETAPA OBRA'!J:J,MATCH($B44,'ETAPA OBRA'!$B:$B,0))="x",'ETAPA OBRA'!J$1&amp;", ","")&amp;
IF(INDEX('ETAPA OBRA'!K:K,MATCH($B44,'ETAPA OBRA'!$B:$B,0))="x",'ETAPA OBRA'!K$1&amp;", ","")&amp;
IF(INDEX('ETAPA OBRA'!L:L,MATCH($B44,'ETAPA OBRA'!$B:$B,0))="x",'ETAPA OBRA'!L$1&amp;", ","")&amp;
IF(INDEX('ETAPA OBRA'!M:M,MATCH($B44,'ETAPA OBRA'!$B:$B,0))="x",'ETAPA OBRA'!M$1&amp;", ","")&amp;
IF(INDEX('ETAPA OBRA'!N:N,MATCH($B44,'ETAPA OBRA'!$B:$B,0))="x",'ETAPA OBRA'!N$1&amp;", ","")&amp;
IF(INDEX('ETAPA OBRA'!O:O,MATCH($B44,'ETAPA OBRA'!$B:$B,0))="x",'ETAPA OBRA'!O$1&amp;", ","")&amp;
IF(INDEX('ETAPA OBRA'!P:P,MATCH($B44,'ETAPA OBRA'!$B:$B,0))="x",'ETAPA OBRA'!P$1&amp;", ","")&amp;
IF(INDEX('ETAPA OBRA'!Q:Q,MATCH($B44,'ETAPA OBRA'!$B:$B,0))="x",'ETAPA OBRA'!Q$1&amp;", ","")&amp;
IF(INDEX('ETAPA OBRA'!R:R,MATCH($B44,'ETAPA OBRA'!$B:$B,0))="x",'ETAPA OBRA'!R$1&amp;", ","")&amp;
IF(INDEX('ETAPA OBRA'!S:S,MATCH($B44,'ETAPA OBRA'!$B:$B,0))="x",'ETAPA OBRA'!S$1&amp;", ","")&amp;
IF(INDEX('ETAPA OBRA'!T:T,MATCH($B44,'ETAPA OBRA'!$B:$B,0))="x",'ETAPA OBRA'!T$1&amp;", ","")&amp;
IF(INDEX('ETAPA OBRA'!U:U,MATCH($B44,'ETAPA OBRA'!$B:$B,0))="x",'ETAPA OBRA'!U$1&amp;", ","")
)-2),"")</f>
        <v>Finalizado</v>
      </c>
      <c r="N44" s="23" t="str">
        <f t="shared" si="5"/>
        <v>Finalizado</v>
      </c>
      <c r="O44" s="28">
        <v>14800</v>
      </c>
      <c r="P44" s="37">
        <f t="shared" si="1"/>
        <v>5260.25</v>
      </c>
      <c r="Q44" s="28">
        <f t="shared" si="6"/>
        <v>9539.75</v>
      </c>
      <c r="R44" s="29">
        <f t="shared" si="7"/>
        <v>0.64457770270270265</v>
      </c>
      <c r="S44" s="23" t="str">
        <f t="shared" si="8"/>
        <v>✅ OK - Fechar Parceiro</v>
      </c>
      <c r="T44" s="23" t="str">
        <f>Cronograma[[#This Row],[STATUS]]</f>
        <v>✅ CONCLUÍDO</v>
      </c>
    </row>
    <row r="45" spans="1:20" ht="14.4" x14ac:dyDescent="0.3">
      <c r="A45" s="23" t="s">
        <v>158</v>
      </c>
      <c r="B45" s="23" t="str">
        <f>IF(A45&lt;&gt;"","contel-"&amp;TEXT(COUNTA($A$2:A45),"00"),"")</f>
        <v>contel-44</v>
      </c>
      <c r="C45" s="23" t="s">
        <v>21</v>
      </c>
      <c r="D45" s="23" t="s">
        <v>159</v>
      </c>
      <c r="E45" s="23" t="s">
        <v>97</v>
      </c>
      <c r="F45" s="52" t="s">
        <v>160</v>
      </c>
      <c r="G45" s="23">
        <v>1751</v>
      </c>
      <c r="H45" s="24">
        <v>16050</v>
      </c>
      <c r="I45" s="23" t="s">
        <v>90</v>
      </c>
      <c r="J45" s="25">
        <f>SUM(EQUIPE!C45,EQUIPE!E45,EQUIPE!G45,EQUIPE!I45,EQUIPE!K45,EQUIPE!M45,EQUIPE!O45)</f>
        <v>1500</v>
      </c>
      <c r="K45" s="25">
        <v>6000</v>
      </c>
      <c r="L45" s="25">
        <v>271.47000000000003</v>
      </c>
      <c r="M45" s="27" t="str">
        <f>IFERROR(LEFT(
IF(INDEX('ETAPA OBRA'!C:C,MATCH($B45,'ETAPA OBRA'!$B:$B,0))="x",'ETAPA OBRA'!C$1&amp;", ","")&amp;
IF(INDEX('ETAPA OBRA'!D:D,MATCH($B45,'ETAPA OBRA'!$B:$B,0))="x",'ETAPA OBRA'!D$1&amp;", ","")&amp;
IF(INDEX('ETAPA OBRA'!F:F,MATCH($B45,'ETAPA OBRA'!$B:$B,0))="x",'ETAPA OBRA'!F$1&amp;", ","")&amp;
IF(INDEX('ETAPA OBRA'!G:G,MATCH($B45,'ETAPA OBRA'!$B:$B,0))="x",'ETAPA OBRA'!G$1&amp;", ","")&amp;
IF(INDEX('ETAPA OBRA'!H:H,MATCH($B45,'ETAPA OBRA'!$B:$B,0))="x",'ETAPA OBRA'!H$1&amp;", ","")&amp;
IF(INDEX('ETAPA OBRA'!I:I,MATCH($B45,'ETAPA OBRA'!$B:$B,0))="x",'ETAPA OBRA'!I$1&amp;", ","")&amp;
IF(INDEX('ETAPA OBRA'!J:J,MATCH($B45,'ETAPA OBRA'!$B:$B,0))="x",'ETAPA OBRA'!J$1&amp;", ","")&amp;
IF(INDEX('ETAPA OBRA'!K:K,MATCH($B45,'ETAPA OBRA'!$B:$B,0))="x",'ETAPA OBRA'!K$1&amp;", ","")&amp;
IF(INDEX('ETAPA OBRA'!L:L,MATCH($B45,'ETAPA OBRA'!$B:$B,0))="x",'ETAPA OBRA'!L$1&amp;", ","")&amp;
IF(INDEX('ETAPA OBRA'!M:M,MATCH($B45,'ETAPA OBRA'!$B:$B,0))="x",'ETAPA OBRA'!M$1&amp;", ","")&amp;
IF(INDEX('ETAPA OBRA'!N:N,MATCH($B45,'ETAPA OBRA'!$B:$B,0))="x",'ETAPA OBRA'!N$1&amp;", ","")&amp;
IF(INDEX('ETAPA OBRA'!O:O,MATCH($B45,'ETAPA OBRA'!$B:$B,0))="x",'ETAPA OBRA'!O$1&amp;", ","")&amp;
IF(INDEX('ETAPA OBRA'!P:P,MATCH($B45,'ETAPA OBRA'!$B:$B,0))="x",'ETAPA OBRA'!P$1&amp;", ","")&amp;
IF(INDEX('ETAPA OBRA'!Q:Q,MATCH($B45,'ETAPA OBRA'!$B:$B,0))="x",'ETAPA OBRA'!Q$1&amp;", ","")&amp;
IF(INDEX('ETAPA OBRA'!R:R,MATCH($B45,'ETAPA OBRA'!$B:$B,0))="x",'ETAPA OBRA'!R$1&amp;", ","")&amp;
IF(INDEX('ETAPA OBRA'!S:S,MATCH($B45,'ETAPA OBRA'!$B:$B,0))="x",'ETAPA OBRA'!S$1&amp;", ","")&amp;
IF(INDEX('ETAPA OBRA'!T:T,MATCH($B45,'ETAPA OBRA'!$B:$B,0))="x",'ETAPA OBRA'!T$1&amp;", ","")&amp;
IF(INDEX('ETAPA OBRA'!U:U,MATCH($B45,'ETAPA OBRA'!$B:$B,0))="x",'ETAPA OBRA'!U$1&amp;", ",""),LEN(
IF(INDEX('ETAPA OBRA'!C:C,MATCH($B45,'ETAPA OBRA'!$B:$B,0))="x",'ETAPA OBRA'!C$1&amp;", ","")&amp;
IF(INDEX('ETAPA OBRA'!D:D,MATCH($B45,'ETAPA OBRA'!$B:$B,0))="x",'ETAPA OBRA'!D$1&amp;", ","")&amp;
IF(INDEX('ETAPA OBRA'!F:F,MATCH($B45,'ETAPA OBRA'!$B:$B,0))="x",'ETAPA OBRA'!F$1&amp;", ","")&amp;
IF(INDEX('ETAPA OBRA'!G:G,MATCH($B45,'ETAPA OBRA'!$B:$B,0))="x",'ETAPA OBRA'!G$1&amp;", ","")&amp;
IF(INDEX('ETAPA OBRA'!H:H,MATCH($B45,'ETAPA OBRA'!$B:$B,0))="x",'ETAPA OBRA'!H$1&amp;", ","")&amp;
IF(INDEX('ETAPA OBRA'!I:I,MATCH($B45,'ETAPA OBRA'!$B:$B,0))="x",'ETAPA OBRA'!I$1&amp;", ","")&amp;
IF(INDEX('ETAPA OBRA'!J:J,MATCH($B45,'ETAPA OBRA'!$B:$B,0))="x",'ETAPA OBRA'!J$1&amp;", ","")&amp;
IF(INDEX('ETAPA OBRA'!K:K,MATCH($B45,'ETAPA OBRA'!$B:$B,0))="x",'ETAPA OBRA'!K$1&amp;", ","")&amp;
IF(INDEX('ETAPA OBRA'!L:L,MATCH($B45,'ETAPA OBRA'!$B:$B,0))="x",'ETAPA OBRA'!L$1&amp;", ","")&amp;
IF(INDEX('ETAPA OBRA'!M:M,MATCH($B45,'ETAPA OBRA'!$B:$B,0))="x",'ETAPA OBRA'!M$1&amp;", ","")&amp;
IF(INDEX('ETAPA OBRA'!N:N,MATCH($B45,'ETAPA OBRA'!$B:$B,0))="x",'ETAPA OBRA'!N$1&amp;", ","")&amp;
IF(INDEX('ETAPA OBRA'!O:O,MATCH($B45,'ETAPA OBRA'!$B:$B,0))="x",'ETAPA OBRA'!O$1&amp;", ","")&amp;
IF(INDEX('ETAPA OBRA'!P:P,MATCH($B45,'ETAPA OBRA'!$B:$B,0))="x",'ETAPA OBRA'!P$1&amp;", ","")&amp;
IF(INDEX('ETAPA OBRA'!Q:Q,MATCH($B45,'ETAPA OBRA'!$B:$B,0))="x",'ETAPA OBRA'!Q$1&amp;", ","")&amp;
IF(INDEX('ETAPA OBRA'!R:R,MATCH($B45,'ETAPA OBRA'!$B:$B,0))="x",'ETAPA OBRA'!R$1&amp;", ","")&amp;
IF(INDEX('ETAPA OBRA'!S:S,MATCH($B45,'ETAPA OBRA'!$B:$B,0))="x",'ETAPA OBRA'!S$1&amp;", ","")&amp;
IF(INDEX('ETAPA OBRA'!T:T,MATCH($B45,'ETAPA OBRA'!$B:$B,0))="x",'ETAPA OBRA'!T$1&amp;", ","")&amp;
IF(INDEX('ETAPA OBRA'!U:U,MATCH($B45,'ETAPA OBRA'!$B:$B,0))="x",'ETAPA OBRA'!U$1&amp;", ","")
)-2),"")</f>
        <v>Finalizado</v>
      </c>
      <c r="N45" s="23" t="str">
        <f t="shared" si="5"/>
        <v>Finalizado</v>
      </c>
      <c r="O45" s="28">
        <v>31132.799999999999</v>
      </c>
      <c r="P45" s="37">
        <f t="shared" si="1"/>
        <v>7771.47</v>
      </c>
      <c r="Q45" s="28">
        <f t="shared" si="6"/>
        <v>23361.329999999998</v>
      </c>
      <c r="R45" s="29">
        <f t="shared" si="7"/>
        <v>0.75037677304964534</v>
      </c>
      <c r="S45" s="23" t="str">
        <f t="shared" si="8"/>
        <v>✅ OK - Fechar Parceiro</v>
      </c>
      <c r="T45" s="23" t="str">
        <f>Cronograma[[#This Row],[STATUS]]</f>
        <v>✅ CONCLUÍDO</v>
      </c>
    </row>
    <row r="46" spans="1:20" ht="14.4" x14ac:dyDescent="0.3">
      <c r="A46" s="23" t="s">
        <v>161</v>
      </c>
      <c r="B46" s="23" t="str">
        <f>IF(A46&lt;&gt;"","contel-"&amp;TEXT(COUNTA($A$2:A46),"00"),"")</f>
        <v>contel-45</v>
      </c>
      <c r="C46" s="23" t="s">
        <v>78</v>
      </c>
      <c r="D46" s="23" t="s">
        <v>96</v>
      </c>
      <c r="E46" s="23" t="s">
        <v>97</v>
      </c>
      <c r="F46" s="52" t="s">
        <v>162</v>
      </c>
      <c r="G46" s="23">
        <v>1752</v>
      </c>
      <c r="H46" s="24">
        <v>16080</v>
      </c>
      <c r="I46" s="23" t="s">
        <v>90</v>
      </c>
      <c r="J46" s="25">
        <f>SUM(EQUIPE!C46,EQUIPE!E46,EQUIPE!G46,EQUIPE!I46,EQUIPE!K46,EQUIPE!M46,EQUIPE!O46)</f>
        <v>10000</v>
      </c>
      <c r="K46" s="25">
        <v>4152.28</v>
      </c>
      <c r="L46" s="25">
        <v>2386.9499999999998</v>
      </c>
      <c r="M46" s="27" t="str">
        <f>IFERROR(LEFT(
IF(INDEX('ETAPA OBRA'!C:C,MATCH($B46,'ETAPA OBRA'!$B:$B,0))="x",'ETAPA OBRA'!C$1&amp;", ","")&amp;
IF(INDEX('ETAPA OBRA'!D:D,MATCH($B46,'ETAPA OBRA'!$B:$B,0))="x",'ETAPA OBRA'!D$1&amp;", ","")&amp;
IF(INDEX('ETAPA OBRA'!F:F,MATCH($B46,'ETAPA OBRA'!$B:$B,0))="x",'ETAPA OBRA'!F$1&amp;", ","")&amp;
IF(INDEX('ETAPA OBRA'!G:G,MATCH($B46,'ETAPA OBRA'!$B:$B,0))="x",'ETAPA OBRA'!G$1&amp;", ","")&amp;
IF(INDEX('ETAPA OBRA'!H:H,MATCH($B46,'ETAPA OBRA'!$B:$B,0))="x",'ETAPA OBRA'!H$1&amp;", ","")&amp;
IF(INDEX('ETAPA OBRA'!I:I,MATCH($B46,'ETAPA OBRA'!$B:$B,0))="x",'ETAPA OBRA'!I$1&amp;", ","")&amp;
IF(INDEX('ETAPA OBRA'!J:J,MATCH($B46,'ETAPA OBRA'!$B:$B,0))="x",'ETAPA OBRA'!J$1&amp;", ","")&amp;
IF(INDEX('ETAPA OBRA'!K:K,MATCH($B46,'ETAPA OBRA'!$B:$B,0))="x",'ETAPA OBRA'!K$1&amp;", ","")&amp;
IF(INDEX('ETAPA OBRA'!L:L,MATCH($B46,'ETAPA OBRA'!$B:$B,0))="x",'ETAPA OBRA'!L$1&amp;", ","")&amp;
IF(INDEX('ETAPA OBRA'!M:M,MATCH($B46,'ETAPA OBRA'!$B:$B,0))="x",'ETAPA OBRA'!M$1&amp;", ","")&amp;
IF(INDEX('ETAPA OBRA'!N:N,MATCH($B46,'ETAPA OBRA'!$B:$B,0))="x",'ETAPA OBRA'!N$1&amp;", ","")&amp;
IF(INDEX('ETAPA OBRA'!O:O,MATCH($B46,'ETAPA OBRA'!$B:$B,0))="x",'ETAPA OBRA'!O$1&amp;", ","")&amp;
IF(INDEX('ETAPA OBRA'!P:P,MATCH($B46,'ETAPA OBRA'!$B:$B,0))="x",'ETAPA OBRA'!P$1&amp;", ","")&amp;
IF(INDEX('ETAPA OBRA'!Q:Q,MATCH($B46,'ETAPA OBRA'!$B:$B,0))="x",'ETAPA OBRA'!Q$1&amp;", ","")&amp;
IF(INDEX('ETAPA OBRA'!R:R,MATCH($B46,'ETAPA OBRA'!$B:$B,0))="x",'ETAPA OBRA'!R$1&amp;", ","")&amp;
IF(INDEX('ETAPA OBRA'!S:S,MATCH($B46,'ETAPA OBRA'!$B:$B,0))="x",'ETAPA OBRA'!S$1&amp;", ","")&amp;
IF(INDEX('ETAPA OBRA'!T:T,MATCH($B46,'ETAPA OBRA'!$B:$B,0))="x",'ETAPA OBRA'!T$1&amp;", ","")&amp;
IF(INDEX('ETAPA OBRA'!U:U,MATCH($B46,'ETAPA OBRA'!$B:$B,0))="x",'ETAPA OBRA'!U$1&amp;", ",""),LEN(
IF(INDEX('ETAPA OBRA'!C:C,MATCH($B46,'ETAPA OBRA'!$B:$B,0))="x",'ETAPA OBRA'!C$1&amp;", ","")&amp;
IF(INDEX('ETAPA OBRA'!D:D,MATCH($B46,'ETAPA OBRA'!$B:$B,0))="x",'ETAPA OBRA'!D$1&amp;", ","")&amp;
IF(INDEX('ETAPA OBRA'!F:F,MATCH($B46,'ETAPA OBRA'!$B:$B,0))="x",'ETAPA OBRA'!F$1&amp;", ","")&amp;
IF(INDEX('ETAPA OBRA'!G:G,MATCH($B46,'ETAPA OBRA'!$B:$B,0))="x",'ETAPA OBRA'!G$1&amp;", ","")&amp;
IF(INDEX('ETAPA OBRA'!H:H,MATCH($B46,'ETAPA OBRA'!$B:$B,0))="x",'ETAPA OBRA'!H$1&amp;", ","")&amp;
IF(INDEX('ETAPA OBRA'!I:I,MATCH($B46,'ETAPA OBRA'!$B:$B,0))="x",'ETAPA OBRA'!I$1&amp;", ","")&amp;
IF(INDEX('ETAPA OBRA'!J:J,MATCH($B46,'ETAPA OBRA'!$B:$B,0))="x",'ETAPA OBRA'!J$1&amp;", ","")&amp;
IF(INDEX('ETAPA OBRA'!K:K,MATCH($B46,'ETAPA OBRA'!$B:$B,0))="x",'ETAPA OBRA'!K$1&amp;", ","")&amp;
IF(INDEX('ETAPA OBRA'!L:L,MATCH($B46,'ETAPA OBRA'!$B:$B,0))="x",'ETAPA OBRA'!L$1&amp;", ","")&amp;
IF(INDEX('ETAPA OBRA'!M:M,MATCH($B46,'ETAPA OBRA'!$B:$B,0))="x",'ETAPA OBRA'!M$1&amp;", ","")&amp;
IF(INDEX('ETAPA OBRA'!N:N,MATCH($B46,'ETAPA OBRA'!$B:$B,0))="x",'ETAPA OBRA'!N$1&amp;", ","")&amp;
IF(INDEX('ETAPA OBRA'!O:O,MATCH($B46,'ETAPA OBRA'!$B:$B,0))="x",'ETAPA OBRA'!O$1&amp;", ","")&amp;
IF(INDEX('ETAPA OBRA'!P:P,MATCH($B46,'ETAPA OBRA'!$B:$B,0))="x",'ETAPA OBRA'!P$1&amp;", ","")&amp;
IF(INDEX('ETAPA OBRA'!Q:Q,MATCH($B46,'ETAPA OBRA'!$B:$B,0))="x",'ETAPA OBRA'!Q$1&amp;", ","")&amp;
IF(INDEX('ETAPA OBRA'!R:R,MATCH($B46,'ETAPA OBRA'!$B:$B,0))="x",'ETAPA OBRA'!R$1&amp;", ","")&amp;
IF(INDEX('ETAPA OBRA'!S:S,MATCH($B46,'ETAPA OBRA'!$B:$B,0))="x",'ETAPA OBRA'!S$1&amp;", ","")&amp;
IF(INDEX('ETAPA OBRA'!T:T,MATCH($B46,'ETAPA OBRA'!$B:$B,0))="x",'ETAPA OBRA'!T$1&amp;", ","")&amp;
IF(INDEX('ETAPA OBRA'!U:U,MATCH($B46,'ETAPA OBRA'!$B:$B,0))="x",'ETAPA OBRA'!U$1&amp;", ","")
)-2),"")</f>
        <v>Finalizado</v>
      </c>
      <c r="N46" s="23" t="str">
        <f t="shared" si="5"/>
        <v>Finalizado</v>
      </c>
      <c r="O46" s="28">
        <v>25374.94</v>
      </c>
      <c r="P46" s="37">
        <f t="shared" si="1"/>
        <v>16539.23</v>
      </c>
      <c r="Q46" s="28">
        <f t="shared" si="6"/>
        <v>8835.7099999999991</v>
      </c>
      <c r="R46" s="29">
        <f t="shared" si="7"/>
        <v>0.34820614354162016</v>
      </c>
      <c r="S46" s="23" t="str">
        <f t="shared" si="8"/>
        <v>✅ OK - Fechar Parceiro</v>
      </c>
      <c r="T46" s="23" t="str">
        <f>Cronograma[[#This Row],[STATUS]]</f>
        <v>✅ CONCLUÍDO</v>
      </c>
    </row>
    <row r="47" spans="1:20" ht="14.4" x14ac:dyDescent="0.3">
      <c r="A47" s="23" t="s">
        <v>163</v>
      </c>
      <c r="B47" s="23" t="str">
        <f>IF(A47&lt;&gt;"","contel-"&amp;TEXT(COUNTA($A$2:A47),"00"),"")</f>
        <v>contel-46</v>
      </c>
      <c r="C47" s="23" t="s">
        <v>21</v>
      </c>
      <c r="D47" s="23" t="s">
        <v>164</v>
      </c>
      <c r="E47" s="23" t="s">
        <v>32</v>
      </c>
      <c r="F47" s="52" t="s">
        <v>162</v>
      </c>
      <c r="G47" s="23">
        <v>1754</v>
      </c>
      <c r="H47" s="24">
        <v>16104</v>
      </c>
      <c r="I47" s="23" t="s">
        <v>63</v>
      </c>
      <c r="J47" s="25">
        <f>SUM(EQUIPE!C47,EQUIPE!E47,EQUIPE!G47,EQUIPE!I47,EQUIPE!K47,EQUIPE!M47,EQUIPE!O47)</f>
        <v>1400</v>
      </c>
      <c r="K47" s="25">
        <v>849.39</v>
      </c>
      <c r="L47" s="25">
        <v>103.03</v>
      </c>
      <c r="M47" s="27" t="str">
        <f>IFERROR(LEFT(
IF(INDEX('ETAPA OBRA'!C:C,MATCH($B47,'ETAPA OBRA'!$B:$B,0))="x",'ETAPA OBRA'!C$1&amp;", ","")&amp;
IF(INDEX('ETAPA OBRA'!D:D,MATCH($B47,'ETAPA OBRA'!$B:$B,0))="x",'ETAPA OBRA'!D$1&amp;", ","")&amp;
IF(INDEX('ETAPA OBRA'!F:F,MATCH($B47,'ETAPA OBRA'!$B:$B,0))="x",'ETAPA OBRA'!F$1&amp;", ","")&amp;
IF(INDEX('ETAPA OBRA'!G:G,MATCH($B47,'ETAPA OBRA'!$B:$B,0))="x",'ETAPA OBRA'!G$1&amp;", ","")&amp;
IF(INDEX('ETAPA OBRA'!H:H,MATCH($B47,'ETAPA OBRA'!$B:$B,0))="x",'ETAPA OBRA'!H$1&amp;", ","")&amp;
IF(INDEX('ETAPA OBRA'!I:I,MATCH($B47,'ETAPA OBRA'!$B:$B,0))="x",'ETAPA OBRA'!I$1&amp;", ","")&amp;
IF(INDEX('ETAPA OBRA'!J:J,MATCH($B47,'ETAPA OBRA'!$B:$B,0))="x",'ETAPA OBRA'!J$1&amp;", ","")&amp;
IF(INDEX('ETAPA OBRA'!K:K,MATCH($B47,'ETAPA OBRA'!$B:$B,0))="x",'ETAPA OBRA'!K$1&amp;", ","")&amp;
IF(INDEX('ETAPA OBRA'!L:L,MATCH($B47,'ETAPA OBRA'!$B:$B,0))="x",'ETAPA OBRA'!L$1&amp;", ","")&amp;
IF(INDEX('ETAPA OBRA'!M:M,MATCH($B47,'ETAPA OBRA'!$B:$B,0))="x",'ETAPA OBRA'!M$1&amp;", ","")&amp;
IF(INDEX('ETAPA OBRA'!N:N,MATCH($B47,'ETAPA OBRA'!$B:$B,0))="x",'ETAPA OBRA'!N$1&amp;", ","")&amp;
IF(INDEX('ETAPA OBRA'!O:O,MATCH($B47,'ETAPA OBRA'!$B:$B,0))="x",'ETAPA OBRA'!O$1&amp;", ","")&amp;
IF(INDEX('ETAPA OBRA'!P:P,MATCH($B47,'ETAPA OBRA'!$B:$B,0))="x",'ETAPA OBRA'!P$1&amp;", ","")&amp;
IF(INDEX('ETAPA OBRA'!Q:Q,MATCH($B47,'ETAPA OBRA'!$B:$B,0))="x",'ETAPA OBRA'!Q$1&amp;", ","")&amp;
IF(INDEX('ETAPA OBRA'!R:R,MATCH($B47,'ETAPA OBRA'!$B:$B,0))="x",'ETAPA OBRA'!R$1&amp;", ","")&amp;
IF(INDEX('ETAPA OBRA'!S:S,MATCH($B47,'ETAPA OBRA'!$B:$B,0))="x",'ETAPA OBRA'!S$1&amp;", ","")&amp;
IF(INDEX('ETAPA OBRA'!T:T,MATCH($B47,'ETAPA OBRA'!$B:$B,0))="x",'ETAPA OBRA'!T$1&amp;", ","")&amp;
IF(INDEX('ETAPA OBRA'!U:U,MATCH($B47,'ETAPA OBRA'!$B:$B,0))="x",'ETAPA OBRA'!U$1&amp;", ",""),LEN(
IF(INDEX('ETAPA OBRA'!C:C,MATCH($B47,'ETAPA OBRA'!$B:$B,0))="x",'ETAPA OBRA'!C$1&amp;", ","")&amp;
IF(INDEX('ETAPA OBRA'!D:D,MATCH($B47,'ETAPA OBRA'!$B:$B,0))="x",'ETAPA OBRA'!D$1&amp;", ","")&amp;
IF(INDEX('ETAPA OBRA'!F:F,MATCH($B47,'ETAPA OBRA'!$B:$B,0))="x",'ETAPA OBRA'!F$1&amp;", ","")&amp;
IF(INDEX('ETAPA OBRA'!G:G,MATCH($B47,'ETAPA OBRA'!$B:$B,0))="x",'ETAPA OBRA'!G$1&amp;", ","")&amp;
IF(INDEX('ETAPA OBRA'!H:H,MATCH($B47,'ETAPA OBRA'!$B:$B,0))="x",'ETAPA OBRA'!H$1&amp;", ","")&amp;
IF(INDEX('ETAPA OBRA'!I:I,MATCH($B47,'ETAPA OBRA'!$B:$B,0))="x",'ETAPA OBRA'!I$1&amp;", ","")&amp;
IF(INDEX('ETAPA OBRA'!J:J,MATCH($B47,'ETAPA OBRA'!$B:$B,0))="x",'ETAPA OBRA'!J$1&amp;", ","")&amp;
IF(INDEX('ETAPA OBRA'!K:K,MATCH($B47,'ETAPA OBRA'!$B:$B,0))="x",'ETAPA OBRA'!K$1&amp;", ","")&amp;
IF(INDEX('ETAPA OBRA'!L:L,MATCH($B47,'ETAPA OBRA'!$B:$B,0))="x",'ETAPA OBRA'!L$1&amp;", ","")&amp;
IF(INDEX('ETAPA OBRA'!M:M,MATCH($B47,'ETAPA OBRA'!$B:$B,0))="x",'ETAPA OBRA'!M$1&amp;", ","")&amp;
IF(INDEX('ETAPA OBRA'!N:N,MATCH($B47,'ETAPA OBRA'!$B:$B,0))="x",'ETAPA OBRA'!N$1&amp;", ","")&amp;
IF(INDEX('ETAPA OBRA'!O:O,MATCH($B47,'ETAPA OBRA'!$B:$B,0))="x",'ETAPA OBRA'!O$1&amp;", ","")&amp;
IF(INDEX('ETAPA OBRA'!P:P,MATCH($B47,'ETAPA OBRA'!$B:$B,0))="x",'ETAPA OBRA'!P$1&amp;", ","")&amp;
IF(INDEX('ETAPA OBRA'!Q:Q,MATCH($B47,'ETAPA OBRA'!$B:$B,0))="x",'ETAPA OBRA'!Q$1&amp;", ","")&amp;
IF(INDEX('ETAPA OBRA'!R:R,MATCH($B47,'ETAPA OBRA'!$B:$B,0))="x",'ETAPA OBRA'!R$1&amp;", ","")&amp;
IF(INDEX('ETAPA OBRA'!S:S,MATCH($B47,'ETAPA OBRA'!$B:$B,0))="x",'ETAPA OBRA'!S$1&amp;", ","")&amp;
IF(INDEX('ETAPA OBRA'!T:T,MATCH($B47,'ETAPA OBRA'!$B:$B,0))="x",'ETAPA OBRA'!T$1&amp;", ","")&amp;
IF(INDEX('ETAPA OBRA'!U:U,MATCH($B47,'ETAPA OBRA'!$B:$B,0))="x",'ETAPA OBRA'!U$1&amp;", ","")
)-2),"")</f>
        <v>Finalizado</v>
      </c>
      <c r="N47" s="23" t="str">
        <f t="shared" si="5"/>
        <v>Finalizado</v>
      </c>
      <c r="O47" s="28">
        <v>11928.07</v>
      </c>
      <c r="P47" s="37">
        <f t="shared" si="1"/>
        <v>2352.42</v>
      </c>
      <c r="Q47" s="28">
        <f t="shared" si="6"/>
        <v>9575.65</v>
      </c>
      <c r="R47" s="29">
        <f t="shared" si="7"/>
        <v>0.80278284751850049</v>
      </c>
      <c r="S47" s="23" t="str">
        <f t="shared" si="8"/>
        <v>✅ OK - Fechar Parceiro</v>
      </c>
      <c r="T47" s="23" t="str">
        <f>Cronograma[[#This Row],[STATUS]]</f>
        <v>✅ CONCLUÍDO</v>
      </c>
    </row>
    <row r="48" spans="1:20" ht="14.4" x14ac:dyDescent="0.3">
      <c r="A48" s="23" t="s">
        <v>165</v>
      </c>
      <c r="B48" s="23" t="str">
        <f>IF(A48&lt;&gt;"","contel-"&amp;TEXT(COUNTA($A$2:A48),"00"),"")</f>
        <v>contel-47</v>
      </c>
      <c r="C48" s="23" t="s">
        <v>21</v>
      </c>
      <c r="D48" s="23" t="s">
        <v>166</v>
      </c>
      <c r="E48" s="23" t="s">
        <v>32</v>
      </c>
      <c r="F48" s="52" t="s">
        <v>167</v>
      </c>
      <c r="G48" s="23">
        <v>1755</v>
      </c>
      <c r="H48" s="24">
        <v>16211</v>
      </c>
      <c r="I48" s="23" t="s">
        <v>63</v>
      </c>
      <c r="J48" s="25">
        <f>SUM(EQUIPE!C48,EQUIPE!E48,EQUIPE!G48,EQUIPE!I48,EQUIPE!K48,EQUIPE!M48,EQUIPE!O48)</f>
        <v>11750</v>
      </c>
      <c r="K48" s="25">
        <v>21701.26</v>
      </c>
      <c r="L48" s="25">
        <v>271.45999999999998</v>
      </c>
      <c r="M48" s="27" t="str">
        <f>IFERROR(LEFT(
IF(INDEX('ETAPA OBRA'!C:C,MATCH($B48,'ETAPA OBRA'!$B:$B,0))="x",'ETAPA OBRA'!C$1&amp;", ","")&amp;
IF(INDEX('ETAPA OBRA'!D:D,MATCH($B48,'ETAPA OBRA'!$B:$B,0))="x",'ETAPA OBRA'!D$1&amp;", ","")&amp;
IF(INDEX('ETAPA OBRA'!F:F,MATCH($B48,'ETAPA OBRA'!$B:$B,0))="x",'ETAPA OBRA'!F$1&amp;", ","")&amp;
IF(INDEX('ETAPA OBRA'!G:G,MATCH($B48,'ETAPA OBRA'!$B:$B,0))="x",'ETAPA OBRA'!G$1&amp;", ","")&amp;
IF(INDEX('ETAPA OBRA'!H:H,MATCH($B48,'ETAPA OBRA'!$B:$B,0))="x",'ETAPA OBRA'!H$1&amp;", ","")&amp;
IF(INDEX('ETAPA OBRA'!I:I,MATCH($B48,'ETAPA OBRA'!$B:$B,0))="x",'ETAPA OBRA'!I$1&amp;", ","")&amp;
IF(INDEX('ETAPA OBRA'!J:J,MATCH($B48,'ETAPA OBRA'!$B:$B,0))="x",'ETAPA OBRA'!J$1&amp;", ","")&amp;
IF(INDEX('ETAPA OBRA'!K:K,MATCH($B48,'ETAPA OBRA'!$B:$B,0))="x",'ETAPA OBRA'!K$1&amp;", ","")&amp;
IF(INDEX('ETAPA OBRA'!L:L,MATCH($B48,'ETAPA OBRA'!$B:$B,0))="x",'ETAPA OBRA'!L$1&amp;", ","")&amp;
IF(INDEX('ETAPA OBRA'!M:M,MATCH($B48,'ETAPA OBRA'!$B:$B,0))="x",'ETAPA OBRA'!M$1&amp;", ","")&amp;
IF(INDEX('ETAPA OBRA'!N:N,MATCH($B48,'ETAPA OBRA'!$B:$B,0))="x",'ETAPA OBRA'!N$1&amp;", ","")&amp;
IF(INDEX('ETAPA OBRA'!O:O,MATCH($B48,'ETAPA OBRA'!$B:$B,0))="x",'ETAPA OBRA'!O$1&amp;", ","")&amp;
IF(INDEX('ETAPA OBRA'!P:P,MATCH($B48,'ETAPA OBRA'!$B:$B,0))="x",'ETAPA OBRA'!P$1&amp;", ","")&amp;
IF(INDEX('ETAPA OBRA'!Q:Q,MATCH($B48,'ETAPA OBRA'!$B:$B,0))="x",'ETAPA OBRA'!Q$1&amp;", ","")&amp;
IF(INDEX('ETAPA OBRA'!R:R,MATCH($B48,'ETAPA OBRA'!$B:$B,0))="x",'ETAPA OBRA'!R$1&amp;", ","")&amp;
IF(INDEX('ETAPA OBRA'!S:S,MATCH($B48,'ETAPA OBRA'!$B:$B,0))="x",'ETAPA OBRA'!S$1&amp;", ","")&amp;
IF(INDEX('ETAPA OBRA'!T:T,MATCH($B48,'ETAPA OBRA'!$B:$B,0))="x",'ETAPA OBRA'!T$1&amp;", ","")&amp;
IF(INDEX('ETAPA OBRA'!U:U,MATCH($B48,'ETAPA OBRA'!$B:$B,0))="x",'ETAPA OBRA'!U$1&amp;", ",""),LEN(
IF(INDEX('ETAPA OBRA'!C:C,MATCH($B48,'ETAPA OBRA'!$B:$B,0))="x",'ETAPA OBRA'!C$1&amp;", ","")&amp;
IF(INDEX('ETAPA OBRA'!D:D,MATCH($B48,'ETAPA OBRA'!$B:$B,0))="x",'ETAPA OBRA'!D$1&amp;", ","")&amp;
IF(INDEX('ETAPA OBRA'!F:F,MATCH($B48,'ETAPA OBRA'!$B:$B,0))="x",'ETAPA OBRA'!F$1&amp;", ","")&amp;
IF(INDEX('ETAPA OBRA'!G:G,MATCH($B48,'ETAPA OBRA'!$B:$B,0))="x",'ETAPA OBRA'!G$1&amp;", ","")&amp;
IF(INDEX('ETAPA OBRA'!H:H,MATCH($B48,'ETAPA OBRA'!$B:$B,0))="x",'ETAPA OBRA'!H$1&amp;", ","")&amp;
IF(INDEX('ETAPA OBRA'!I:I,MATCH($B48,'ETAPA OBRA'!$B:$B,0))="x",'ETAPA OBRA'!I$1&amp;", ","")&amp;
IF(INDEX('ETAPA OBRA'!J:J,MATCH($B48,'ETAPA OBRA'!$B:$B,0))="x",'ETAPA OBRA'!J$1&amp;", ","")&amp;
IF(INDEX('ETAPA OBRA'!K:K,MATCH($B48,'ETAPA OBRA'!$B:$B,0))="x",'ETAPA OBRA'!K$1&amp;", ","")&amp;
IF(INDEX('ETAPA OBRA'!L:L,MATCH($B48,'ETAPA OBRA'!$B:$B,0))="x",'ETAPA OBRA'!L$1&amp;", ","")&amp;
IF(INDEX('ETAPA OBRA'!M:M,MATCH($B48,'ETAPA OBRA'!$B:$B,0))="x",'ETAPA OBRA'!M$1&amp;", ","")&amp;
IF(INDEX('ETAPA OBRA'!N:N,MATCH($B48,'ETAPA OBRA'!$B:$B,0))="x",'ETAPA OBRA'!N$1&amp;", ","")&amp;
IF(INDEX('ETAPA OBRA'!O:O,MATCH($B48,'ETAPA OBRA'!$B:$B,0))="x",'ETAPA OBRA'!O$1&amp;", ","")&amp;
IF(INDEX('ETAPA OBRA'!P:P,MATCH($B48,'ETAPA OBRA'!$B:$B,0))="x",'ETAPA OBRA'!P$1&amp;", ","")&amp;
IF(INDEX('ETAPA OBRA'!Q:Q,MATCH($B48,'ETAPA OBRA'!$B:$B,0))="x",'ETAPA OBRA'!Q$1&amp;", ","")&amp;
IF(INDEX('ETAPA OBRA'!R:R,MATCH($B48,'ETAPA OBRA'!$B:$B,0))="x",'ETAPA OBRA'!R$1&amp;", ","")&amp;
IF(INDEX('ETAPA OBRA'!S:S,MATCH($B48,'ETAPA OBRA'!$B:$B,0))="x",'ETAPA OBRA'!S$1&amp;", ","")&amp;
IF(INDEX('ETAPA OBRA'!T:T,MATCH($B48,'ETAPA OBRA'!$B:$B,0))="x",'ETAPA OBRA'!T$1&amp;", ","")&amp;
IF(INDEX('ETAPA OBRA'!U:U,MATCH($B48,'ETAPA OBRA'!$B:$B,0))="x",'ETAPA OBRA'!U$1&amp;", ","")
)-2),"")</f>
        <v>Finalizado</v>
      </c>
      <c r="N48" s="23" t="str">
        <f t="shared" si="5"/>
        <v>Finalizado</v>
      </c>
      <c r="O48" s="28">
        <v>42000</v>
      </c>
      <c r="P48" s="37">
        <f t="shared" si="1"/>
        <v>33722.719999999994</v>
      </c>
      <c r="Q48" s="28">
        <f t="shared" si="6"/>
        <v>8277.2800000000061</v>
      </c>
      <c r="R48" s="29">
        <f t="shared" si="7"/>
        <v>0.19707809523809539</v>
      </c>
      <c r="S48" s="23" t="str">
        <f t="shared" si="8"/>
        <v>⚠️ Ajustar Custos (&lt;20%)</v>
      </c>
      <c r="T48" s="23" t="str">
        <f>Cronograma[[#This Row],[STATUS]]</f>
        <v>✅ CONCLUÍDO</v>
      </c>
    </row>
    <row r="49" spans="1:20" ht="14.4" x14ac:dyDescent="0.3">
      <c r="A49" s="31" t="s">
        <v>168</v>
      </c>
      <c r="B49" s="31" t="str">
        <f>IF(A49&lt;&gt;"","contel-"&amp;TEXT(COUNTA($A$2:A49),"00"),"")</f>
        <v>contel-48</v>
      </c>
      <c r="C49" s="31" t="s">
        <v>21</v>
      </c>
      <c r="D49" s="23" t="s">
        <v>169</v>
      </c>
      <c r="E49" s="23" t="s">
        <v>61</v>
      </c>
      <c r="F49" s="52" t="s">
        <v>170</v>
      </c>
      <c r="G49" s="23">
        <v>1756</v>
      </c>
      <c r="H49" s="24">
        <v>16204</v>
      </c>
      <c r="I49" s="23" t="s">
        <v>34</v>
      </c>
      <c r="J49" s="25">
        <f>SUM(EQUIPE!C49,EQUIPE!E49,EQUIPE!G49,EQUIPE!I49,EQUIPE!K49,EQUIPE!M49,EQUIPE!O49)</f>
        <v>4300</v>
      </c>
      <c r="K49" s="25">
        <v>1724.16</v>
      </c>
      <c r="L49" s="25">
        <v>5103.03</v>
      </c>
      <c r="M49" s="27" t="str">
        <f>IFERROR(LEFT(
IF(INDEX('ETAPA OBRA'!C:C,MATCH($B49,'ETAPA OBRA'!$B:$B,0))="x",'ETAPA OBRA'!C$1&amp;", ","")&amp;
IF(INDEX('ETAPA OBRA'!D:D,MATCH($B49,'ETAPA OBRA'!$B:$B,0))="x",'ETAPA OBRA'!D$1&amp;", ","")&amp;
IF(INDEX('ETAPA OBRA'!F:F,MATCH($B49,'ETAPA OBRA'!$B:$B,0))="x",'ETAPA OBRA'!F$1&amp;", ","")&amp;
IF(INDEX('ETAPA OBRA'!G:G,MATCH($B49,'ETAPA OBRA'!$B:$B,0))="x",'ETAPA OBRA'!G$1&amp;", ","")&amp;
IF(INDEX('ETAPA OBRA'!H:H,MATCH($B49,'ETAPA OBRA'!$B:$B,0))="x",'ETAPA OBRA'!H$1&amp;", ","")&amp;
IF(INDEX('ETAPA OBRA'!I:I,MATCH($B49,'ETAPA OBRA'!$B:$B,0))="x",'ETAPA OBRA'!I$1&amp;", ","")&amp;
IF(INDEX('ETAPA OBRA'!J:J,MATCH($B49,'ETAPA OBRA'!$B:$B,0))="x",'ETAPA OBRA'!J$1&amp;", ","")&amp;
IF(INDEX('ETAPA OBRA'!K:K,MATCH($B49,'ETAPA OBRA'!$B:$B,0))="x",'ETAPA OBRA'!K$1&amp;", ","")&amp;
IF(INDEX('ETAPA OBRA'!L:L,MATCH($B49,'ETAPA OBRA'!$B:$B,0))="x",'ETAPA OBRA'!L$1&amp;", ","")&amp;
IF(INDEX('ETAPA OBRA'!M:M,MATCH($B49,'ETAPA OBRA'!$B:$B,0))="x",'ETAPA OBRA'!M$1&amp;", ","")&amp;
IF(INDEX('ETAPA OBRA'!N:N,MATCH($B49,'ETAPA OBRA'!$B:$B,0))="x",'ETAPA OBRA'!N$1&amp;", ","")&amp;
IF(INDEX('ETAPA OBRA'!O:O,MATCH($B49,'ETAPA OBRA'!$B:$B,0))="x",'ETAPA OBRA'!O$1&amp;", ","")&amp;
IF(INDEX('ETAPA OBRA'!P:P,MATCH($B49,'ETAPA OBRA'!$B:$B,0))="x",'ETAPA OBRA'!P$1&amp;", ","")&amp;
IF(INDEX('ETAPA OBRA'!Q:Q,MATCH($B49,'ETAPA OBRA'!$B:$B,0))="x",'ETAPA OBRA'!Q$1&amp;", ","")&amp;
IF(INDEX('ETAPA OBRA'!R:R,MATCH($B49,'ETAPA OBRA'!$B:$B,0))="x",'ETAPA OBRA'!R$1&amp;", ","")&amp;
IF(INDEX('ETAPA OBRA'!S:S,MATCH($B49,'ETAPA OBRA'!$B:$B,0))="x",'ETAPA OBRA'!S$1&amp;", ","")&amp;
IF(INDEX('ETAPA OBRA'!T:T,MATCH($B49,'ETAPA OBRA'!$B:$B,0))="x",'ETAPA OBRA'!T$1&amp;", ","")&amp;
IF(INDEX('ETAPA OBRA'!U:U,MATCH($B49,'ETAPA OBRA'!$B:$B,0))="x",'ETAPA OBRA'!U$1&amp;", ",""),LEN(
IF(INDEX('ETAPA OBRA'!C:C,MATCH($B49,'ETAPA OBRA'!$B:$B,0))="x",'ETAPA OBRA'!C$1&amp;", ","")&amp;
IF(INDEX('ETAPA OBRA'!D:D,MATCH($B49,'ETAPA OBRA'!$B:$B,0))="x",'ETAPA OBRA'!D$1&amp;", ","")&amp;
IF(INDEX('ETAPA OBRA'!F:F,MATCH($B49,'ETAPA OBRA'!$B:$B,0))="x",'ETAPA OBRA'!F$1&amp;", ","")&amp;
IF(INDEX('ETAPA OBRA'!G:G,MATCH($B49,'ETAPA OBRA'!$B:$B,0))="x",'ETAPA OBRA'!G$1&amp;", ","")&amp;
IF(INDEX('ETAPA OBRA'!H:H,MATCH($B49,'ETAPA OBRA'!$B:$B,0))="x",'ETAPA OBRA'!H$1&amp;", ","")&amp;
IF(INDEX('ETAPA OBRA'!I:I,MATCH($B49,'ETAPA OBRA'!$B:$B,0))="x",'ETAPA OBRA'!I$1&amp;", ","")&amp;
IF(INDEX('ETAPA OBRA'!J:J,MATCH($B49,'ETAPA OBRA'!$B:$B,0))="x",'ETAPA OBRA'!J$1&amp;", ","")&amp;
IF(INDEX('ETAPA OBRA'!K:K,MATCH($B49,'ETAPA OBRA'!$B:$B,0))="x",'ETAPA OBRA'!K$1&amp;", ","")&amp;
IF(INDEX('ETAPA OBRA'!L:L,MATCH($B49,'ETAPA OBRA'!$B:$B,0))="x",'ETAPA OBRA'!L$1&amp;", ","")&amp;
IF(INDEX('ETAPA OBRA'!M:M,MATCH($B49,'ETAPA OBRA'!$B:$B,0))="x",'ETAPA OBRA'!M$1&amp;", ","")&amp;
IF(INDEX('ETAPA OBRA'!N:N,MATCH($B49,'ETAPA OBRA'!$B:$B,0))="x",'ETAPA OBRA'!N$1&amp;", ","")&amp;
IF(INDEX('ETAPA OBRA'!O:O,MATCH($B49,'ETAPA OBRA'!$B:$B,0))="x",'ETAPA OBRA'!O$1&amp;", ","")&amp;
IF(INDEX('ETAPA OBRA'!P:P,MATCH($B49,'ETAPA OBRA'!$B:$B,0))="x",'ETAPA OBRA'!P$1&amp;", ","")&amp;
IF(INDEX('ETAPA OBRA'!Q:Q,MATCH($B49,'ETAPA OBRA'!$B:$B,0))="x",'ETAPA OBRA'!Q$1&amp;", ","")&amp;
IF(INDEX('ETAPA OBRA'!R:R,MATCH($B49,'ETAPA OBRA'!$B:$B,0))="x",'ETAPA OBRA'!R$1&amp;", ","")&amp;
IF(INDEX('ETAPA OBRA'!S:S,MATCH($B49,'ETAPA OBRA'!$B:$B,0))="x",'ETAPA OBRA'!S$1&amp;", ","")&amp;
IF(INDEX('ETAPA OBRA'!T:T,MATCH($B49,'ETAPA OBRA'!$B:$B,0))="x",'ETAPA OBRA'!T$1&amp;", ","")&amp;
IF(INDEX('ETAPA OBRA'!U:U,MATCH($B49,'ETAPA OBRA'!$B:$B,0))="x",'ETAPA OBRA'!U$1&amp;", ","")
)-2),"")</f>
        <v>Finalizado</v>
      </c>
      <c r="N49" s="23" t="str">
        <f t="shared" si="5"/>
        <v>Finalizado</v>
      </c>
      <c r="O49" s="28">
        <v>9435.34</v>
      </c>
      <c r="P49" s="37">
        <f t="shared" si="1"/>
        <v>11127.189999999999</v>
      </c>
      <c r="Q49" s="28">
        <f t="shared" si="6"/>
        <v>-1691.8499999999985</v>
      </c>
      <c r="R49" s="29">
        <f t="shared" si="7"/>
        <v>-0.17930991358022058</v>
      </c>
      <c r="S49" s="23" t="str">
        <f t="shared" si="8"/>
        <v>⚠️ Ajustar Custos (&lt;20%)</v>
      </c>
      <c r="T49" s="23" t="str">
        <f>Cronograma[[#This Row],[STATUS]]</f>
        <v>✅ CONCLUÍDO</v>
      </c>
    </row>
    <row r="50" spans="1:20" ht="14.4" x14ac:dyDescent="0.3">
      <c r="A50" s="23" t="s">
        <v>171</v>
      </c>
      <c r="B50" s="23" t="str">
        <f>IF(A50&lt;&gt;"","contel-"&amp;TEXT(COUNTA($A$2:A50),"00"),"")</f>
        <v>contel-49</v>
      </c>
      <c r="C50" s="23" t="s">
        <v>21</v>
      </c>
      <c r="D50" s="23" t="s">
        <v>27</v>
      </c>
      <c r="E50" s="23" t="s">
        <v>28</v>
      </c>
      <c r="F50" s="52" t="s">
        <v>172</v>
      </c>
      <c r="G50" s="23">
        <v>1785</v>
      </c>
      <c r="H50" s="24">
        <v>16035</v>
      </c>
      <c r="I50" s="23" t="s">
        <v>63</v>
      </c>
      <c r="J50" s="25">
        <f>SUM(EQUIPE!C50,EQUIPE!E50,EQUIPE!G50,EQUIPE!I50,EQUIPE!K50,EQUIPE!M50,EQUIPE!O50)</f>
        <v>2900</v>
      </c>
      <c r="K50" s="25">
        <v>475.31</v>
      </c>
      <c r="L50" s="25">
        <v>285.58999999999997</v>
      </c>
      <c r="M50" s="27" t="str">
        <f>IFERROR(LEFT(
IF(INDEX('ETAPA OBRA'!C:C,MATCH($B50,'ETAPA OBRA'!$B:$B,0))="x",'ETAPA OBRA'!C$1&amp;", ","")&amp;
IF(INDEX('ETAPA OBRA'!D:D,MATCH($B50,'ETAPA OBRA'!$B:$B,0))="x",'ETAPA OBRA'!D$1&amp;", ","")&amp;
IF(INDEX('ETAPA OBRA'!F:F,MATCH($B50,'ETAPA OBRA'!$B:$B,0))="x",'ETAPA OBRA'!F$1&amp;", ","")&amp;
IF(INDEX('ETAPA OBRA'!G:G,MATCH($B50,'ETAPA OBRA'!$B:$B,0))="x",'ETAPA OBRA'!G$1&amp;", ","")&amp;
IF(INDEX('ETAPA OBRA'!H:H,MATCH($B50,'ETAPA OBRA'!$B:$B,0))="x",'ETAPA OBRA'!H$1&amp;", ","")&amp;
IF(INDEX('ETAPA OBRA'!I:I,MATCH($B50,'ETAPA OBRA'!$B:$B,0))="x",'ETAPA OBRA'!I$1&amp;", ","")&amp;
IF(INDEX('ETAPA OBRA'!J:J,MATCH($B50,'ETAPA OBRA'!$B:$B,0))="x",'ETAPA OBRA'!J$1&amp;", ","")&amp;
IF(INDEX('ETAPA OBRA'!K:K,MATCH($B50,'ETAPA OBRA'!$B:$B,0))="x",'ETAPA OBRA'!K$1&amp;", ","")&amp;
IF(INDEX('ETAPA OBRA'!L:L,MATCH($B50,'ETAPA OBRA'!$B:$B,0))="x",'ETAPA OBRA'!L$1&amp;", ","")&amp;
IF(INDEX('ETAPA OBRA'!M:M,MATCH($B50,'ETAPA OBRA'!$B:$B,0))="x",'ETAPA OBRA'!M$1&amp;", ","")&amp;
IF(INDEX('ETAPA OBRA'!N:N,MATCH($B50,'ETAPA OBRA'!$B:$B,0))="x",'ETAPA OBRA'!N$1&amp;", ","")&amp;
IF(INDEX('ETAPA OBRA'!O:O,MATCH($B50,'ETAPA OBRA'!$B:$B,0))="x",'ETAPA OBRA'!O$1&amp;", ","")&amp;
IF(INDEX('ETAPA OBRA'!P:P,MATCH($B50,'ETAPA OBRA'!$B:$B,0))="x",'ETAPA OBRA'!P$1&amp;", ","")&amp;
IF(INDEX('ETAPA OBRA'!Q:Q,MATCH($B50,'ETAPA OBRA'!$B:$B,0))="x",'ETAPA OBRA'!Q$1&amp;", ","")&amp;
IF(INDEX('ETAPA OBRA'!R:R,MATCH($B50,'ETAPA OBRA'!$B:$B,0))="x",'ETAPA OBRA'!R$1&amp;", ","")&amp;
IF(INDEX('ETAPA OBRA'!S:S,MATCH($B50,'ETAPA OBRA'!$B:$B,0))="x",'ETAPA OBRA'!S$1&amp;", ","")&amp;
IF(INDEX('ETAPA OBRA'!T:T,MATCH($B50,'ETAPA OBRA'!$B:$B,0))="x",'ETAPA OBRA'!T$1&amp;", ","")&amp;
IF(INDEX('ETAPA OBRA'!U:U,MATCH($B50,'ETAPA OBRA'!$B:$B,0))="x",'ETAPA OBRA'!U$1&amp;", ",""),LEN(
IF(INDEX('ETAPA OBRA'!C:C,MATCH($B50,'ETAPA OBRA'!$B:$B,0))="x",'ETAPA OBRA'!C$1&amp;", ","")&amp;
IF(INDEX('ETAPA OBRA'!D:D,MATCH($B50,'ETAPA OBRA'!$B:$B,0))="x",'ETAPA OBRA'!D$1&amp;", ","")&amp;
IF(INDEX('ETAPA OBRA'!F:F,MATCH($B50,'ETAPA OBRA'!$B:$B,0))="x",'ETAPA OBRA'!F$1&amp;", ","")&amp;
IF(INDEX('ETAPA OBRA'!G:G,MATCH($B50,'ETAPA OBRA'!$B:$B,0))="x",'ETAPA OBRA'!G$1&amp;", ","")&amp;
IF(INDEX('ETAPA OBRA'!H:H,MATCH($B50,'ETAPA OBRA'!$B:$B,0))="x",'ETAPA OBRA'!H$1&amp;", ","")&amp;
IF(INDEX('ETAPA OBRA'!I:I,MATCH($B50,'ETAPA OBRA'!$B:$B,0))="x",'ETAPA OBRA'!I$1&amp;", ","")&amp;
IF(INDEX('ETAPA OBRA'!J:J,MATCH($B50,'ETAPA OBRA'!$B:$B,0))="x",'ETAPA OBRA'!J$1&amp;", ","")&amp;
IF(INDEX('ETAPA OBRA'!K:K,MATCH($B50,'ETAPA OBRA'!$B:$B,0))="x",'ETAPA OBRA'!K$1&amp;", ","")&amp;
IF(INDEX('ETAPA OBRA'!L:L,MATCH($B50,'ETAPA OBRA'!$B:$B,0))="x",'ETAPA OBRA'!L$1&amp;", ","")&amp;
IF(INDEX('ETAPA OBRA'!M:M,MATCH($B50,'ETAPA OBRA'!$B:$B,0))="x",'ETAPA OBRA'!M$1&amp;", ","")&amp;
IF(INDEX('ETAPA OBRA'!N:N,MATCH($B50,'ETAPA OBRA'!$B:$B,0))="x",'ETAPA OBRA'!N$1&amp;", ","")&amp;
IF(INDEX('ETAPA OBRA'!O:O,MATCH($B50,'ETAPA OBRA'!$B:$B,0))="x",'ETAPA OBRA'!O$1&amp;", ","")&amp;
IF(INDEX('ETAPA OBRA'!P:P,MATCH($B50,'ETAPA OBRA'!$B:$B,0))="x",'ETAPA OBRA'!P$1&amp;", ","")&amp;
IF(INDEX('ETAPA OBRA'!Q:Q,MATCH($B50,'ETAPA OBRA'!$B:$B,0))="x",'ETAPA OBRA'!Q$1&amp;", ","")&amp;
IF(INDEX('ETAPA OBRA'!R:R,MATCH($B50,'ETAPA OBRA'!$B:$B,0))="x",'ETAPA OBRA'!R$1&amp;", ","")&amp;
IF(INDEX('ETAPA OBRA'!S:S,MATCH($B50,'ETAPA OBRA'!$B:$B,0))="x",'ETAPA OBRA'!S$1&amp;", ","")&amp;
IF(INDEX('ETAPA OBRA'!T:T,MATCH($B50,'ETAPA OBRA'!$B:$B,0))="x",'ETAPA OBRA'!T$1&amp;", ","")&amp;
IF(INDEX('ETAPA OBRA'!U:U,MATCH($B50,'ETAPA OBRA'!$B:$B,0))="x",'ETAPA OBRA'!U$1&amp;", ","")
)-2),"")</f>
        <v>Finalizado</v>
      </c>
      <c r="N50" s="23" t="str">
        <f t="shared" si="5"/>
        <v>Finalizado</v>
      </c>
      <c r="O50" s="28">
        <v>23387.81</v>
      </c>
      <c r="P50" s="37">
        <f t="shared" si="1"/>
        <v>3660.9</v>
      </c>
      <c r="Q50" s="28">
        <f t="shared" si="6"/>
        <v>19726.91</v>
      </c>
      <c r="R50" s="29">
        <f t="shared" si="7"/>
        <v>0.84346973915043777</v>
      </c>
      <c r="S50" s="23" t="str">
        <f t="shared" si="8"/>
        <v>✅ OK - Fechar Parceiro</v>
      </c>
      <c r="T50" s="23" t="str">
        <f>Cronograma[[#This Row],[STATUS]]</f>
        <v>✅ CONCLUÍDO</v>
      </c>
    </row>
    <row r="51" spans="1:20" ht="14.4" x14ac:dyDescent="0.3">
      <c r="A51" s="23" t="s">
        <v>173</v>
      </c>
      <c r="B51" s="23" t="str">
        <f>IF(A51&lt;&gt;"","contel-"&amp;TEXT(COUNTA($A$2:A51),"00"),"")</f>
        <v>contel-50</v>
      </c>
      <c r="C51" s="23" t="s">
        <v>21</v>
      </c>
      <c r="D51" s="23" t="s">
        <v>174</v>
      </c>
      <c r="E51" s="23" t="s">
        <v>32</v>
      </c>
      <c r="F51" s="52" t="s">
        <v>175</v>
      </c>
      <c r="G51" s="23">
        <v>1788</v>
      </c>
      <c r="H51" s="24">
        <v>16249</v>
      </c>
      <c r="I51" s="23" t="s">
        <v>90</v>
      </c>
      <c r="J51" s="25">
        <f>SUM(EQUIPE!C51,EQUIPE!E51,EQUIPE!G51,EQUIPE!I51,EQUIPE!K51,EQUIPE!M51,EQUIPE!O51)</f>
        <v>1800</v>
      </c>
      <c r="K51" s="25">
        <v>2339.27</v>
      </c>
      <c r="L51" s="25">
        <v>499.08</v>
      </c>
      <c r="M51" s="27" t="str">
        <f>IFERROR(LEFT(
IF(INDEX('ETAPA OBRA'!C:C,MATCH($B51,'ETAPA OBRA'!$B:$B,0))="x",'ETAPA OBRA'!C$1&amp;", ","")&amp;
IF(INDEX('ETAPA OBRA'!D:D,MATCH($B51,'ETAPA OBRA'!$B:$B,0))="x",'ETAPA OBRA'!D$1&amp;", ","")&amp;
IF(INDEX('ETAPA OBRA'!F:F,MATCH($B51,'ETAPA OBRA'!$B:$B,0))="x",'ETAPA OBRA'!F$1&amp;", ","")&amp;
IF(INDEX('ETAPA OBRA'!G:G,MATCH($B51,'ETAPA OBRA'!$B:$B,0))="x",'ETAPA OBRA'!G$1&amp;", ","")&amp;
IF(INDEX('ETAPA OBRA'!H:H,MATCH($B51,'ETAPA OBRA'!$B:$B,0))="x",'ETAPA OBRA'!H$1&amp;", ","")&amp;
IF(INDEX('ETAPA OBRA'!I:I,MATCH($B51,'ETAPA OBRA'!$B:$B,0))="x",'ETAPA OBRA'!I$1&amp;", ","")&amp;
IF(INDEX('ETAPA OBRA'!J:J,MATCH($B51,'ETAPA OBRA'!$B:$B,0))="x",'ETAPA OBRA'!J$1&amp;", ","")&amp;
IF(INDEX('ETAPA OBRA'!K:K,MATCH($B51,'ETAPA OBRA'!$B:$B,0))="x",'ETAPA OBRA'!K$1&amp;", ","")&amp;
IF(INDEX('ETAPA OBRA'!L:L,MATCH($B51,'ETAPA OBRA'!$B:$B,0))="x",'ETAPA OBRA'!L$1&amp;", ","")&amp;
IF(INDEX('ETAPA OBRA'!M:M,MATCH($B51,'ETAPA OBRA'!$B:$B,0))="x",'ETAPA OBRA'!M$1&amp;", ","")&amp;
IF(INDEX('ETAPA OBRA'!N:N,MATCH($B51,'ETAPA OBRA'!$B:$B,0))="x",'ETAPA OBRA'!N$1&amp;", ","")&amp;
IF(INDEX('ETAPA OBRA'!O:O,MATCH($B51,'ETAPA OBRA'!$B:$B,0))="x",'ETAPA OBRA'!O$1&amp;", ","")&amp;
IF(INDEX('ETAPA OBRA'!P:P,MATCH($B51,'ETAPA OBRA'!$B:$B,0))="x",'ETAPA OBRA'!P$1&amp;", ","")&amp;
IF(INDEX('ETAPA OBRA'!Q:Q,MATCH($B51,'ETAPA OBRA'!$B:$B,0))="x",'ETAPA OBRA'!Q$1&amp;", ","")&amp;
IF(INDEX('ETAPA OBRA'!R:R,MATCH($B51,'ETAPA OBRA'!$B:$B,0))="x",'ETAPA OBRA'!R$1&amp;", ","")&amp;
IF(INDEX('ETAPA OBRA'!S:S,MATCH($B51,'ETAPA OBRA'!$B:$B,0))="x",'ETAPA OBRA'!S$1&amp;", ","")&amp;
IF(INDEX('ETAPA OBRA'!T:T,MATCH($B51,'ETAPA OBRA'!$B:$B,0))="x",'ETAPA OBRA'!T$1&amp;", ","")&amp;
IF(INDEX('ETAPA OBRA'!U:U,MATCH($B51,'ETAPA OBRA'!$B:$B,0))="x",'ETAPA OBRA'!U$1&amp;", ",""),LEN(
IF(INDEX('ETAPA OBRA'!C:C,MATCH($B51,'ETAPA OBRA'!$B:$B,0))="x",'ETAPA OBRA'!C$1&amp;", ","")&amp;
IF(INDEX('ETAPA OBRA'!D:D,MATCH($B51,'ETAPA OBRA'!$B:$B,0))="x",'ETAPA OBRA'!D$1&amp;", ","")&amp;
IF(INDEX('ETAPA OBRA'!F:F,MATCH($B51,'ETAPA OBRA'!$B:$B,0))="x",'ETAPA OBRA'!F$1&amp;", ","")&amp;
IF(INDEX('ETAPA OBRA'!G:G,MATCH($B51,'ETAPA OBRA'!$B:$B,0))="x",'ETAPA OBRA'!G$1&amp;", ","")&amp;
IF(INDEX('ETAPA OBRA'!H:H,MATCH($B51,'ETAPA OBRA'!$B:$B,0))="x",'ETAPA OBRA'!H$1&amp;", ","")&amp;
IF(INDEX('ETAPA OBRA'!I:I,MATCH($B51,'ETAPA OBRA'!$B:$B,0))="x",'ETAPA OBRA'!I$1&amp;", ","")&amp;
IF(INDEX('ETAPA OBRA'!J:J,MATCH($B51,'ETAPA OBRA'!$B:$B,0))="x",'ETAPA OBRA'!J$1&amp;", ","")&amp;
IF(INDEX('ETAPA OBRA'!K:K,MATCH($B51,'ETAPA OBRA'!$B:$B,0))="x",'ETAPA OBRA'!K$1&amp;", ","")&amp;
IF(INDEX('ETAPA OBRA'!L:L,MATCH($B51,'ETAPA OBRA'!$B:$B,0))="x",'ETAPA OBRA'!L$1&amp;", ","")&amp;
IF(INDEX('ETAPA OBRA'!M:M,MATCH($B51,'ETAPA OBRA'!$B:$B,0))="x",'ETAPA OBRA'!M$1&amp;", ","")&amp;
IF(INDEX('ETAPA OBRA'!N:N,MATCH($B51,'ETAPA OBRA'!$B:$B,0))="x",'ETAPA OBRA'!N$1&amp;", ","")&amp;
IF(INDEX('ETAPA OBRA'!O:O,MATCH($B51,'ETAPA OBRA'!$B:$B,0))="x",'ETAPA OBRA'!O$1&amp;", ","")&amp;
IF(INDEX('ETAPA OBRA'!P:P,MATCH($B51,'ETAPA OBRA'!$B:$B,0))="x",'ETAPA OBRA'!P$1&amp;", ","")&amp;
IF(INDEX('ETAPA OBRA'!Q:Q,MATCH($B51,'ETAPA OBRA'!$B:$B,0))="x",'ETAPA OBRA'!Q$1&amp;", ","")&amp;
IF(INDEX('ETAPA OBRA'!R:R,MATCH($B51,'ETAPA OBRA'!$B:$B,0))="x",'ETAPA OBRA'!R$1&amp;", ","")&amp;
IF(INDEX('ETAPA OBRA'!S:S,MATCH($B51,'ETAPA OBRA'!$B:$B,0))="x",'ETAPA OBRA'!S$1&amp;", ","")&amp;
IF(INDEX('ETAPA OBRA'!T:T,MATCH($B51,'ETAPA OBRA'!$B:$B,0))="x",'ETAPA OBRA'!T$1&amp;", ","")&amp;
IF(INDEX('ETAPA OBRA'!U:U,MATCH($B51,'ETAPA OBRA'!$B:$B,0))="x",'ETAPA OBRA'!U$1&amp;", ","")
)-2),"")</f>
        <v>Finalizado</v>
      </c>
      <c r="N51" s="23" t="str">
        <f t="shared" si="5"/>
        <v>Finalizado</v>
      </c>
      <c r="O51" s="28">
        <v>8450.74</v>
      </c>
      <c r="P51" s="37">
        <f t="shared" si="1"/>
        <v>4638.3500000000004</v>
      </c>
      <c r="Q51" s="28">
        <f t="shared" si="6"/>
        <v>3812.3899999999994</v>
      </c>
      <c r="R51" s="29">
        <f t="shared" si="7"/>
        <v>0.4511309068791608</v>
      </c>
      <c r="S51" s="23" t="str">
        <f t="shared" si="8"/>
        <v>✅ OK - Fechar Parceiro</v>
      </c>
      <c r="T51" s="23" t="str">
        <f>Cronograma[[#This Row],[STATUS]]</f>
        <v>✅ CONCLUÍDO</v>
      </c>
    </row>
    <row r="52" spans="1:20" ht="14.4" x14ac:dyDescent="0.3">
      <c r="A52" s="23" t="s">
        <v>176</v>
      </c>
      <c r="B52" s="23" t="str">
        <f>IF(A52&lt;&gt;"","contel-"&amp;TEXT(COUNTA($A$2:A52),"00"),"")</f>
        <v>contel-51</v>
      </c>
      <c r="C52" s="23" t="s">
        <v>21</v>
      </c>
      <c r="D52" s="23" t="s">
        <v>116</v>
      </c>
      <c r="E52" s="23" t="s">
        <v>117</v>
      </c>
      <c r="F52" s="52" t="s">
        <v>177</v>
      </c>
      <c r="G52" s="23">
        <v>1791</v>
      </c>
      <c r="H52" s="24">
        <v>16483</v>
      </c>
      <c r="I52" s="23" t="s">
        <v>25</v>
      </c>
      <c r="J52" s="25">
        <f>SUM(EQUIPE!C52,EQUIPE!E52,EQUIPE!G52,EQUIPE!I52,EQUIPE!K52,EQUIPE!M52,EQUIPE!O52)</f>
        <v>14300</v>
      </c>
      <c r="K52" s="25">
        <v>6024.31</v>
      </c>
      <c r="L52" s="25">
        <v>3264.94</v>
      </c>
      <c r="M52" s="27" t="str">
        <f ca="1">IFERROR(LEFT(
IF(INDEX('ETAPA OBRA'!C:C,MATCH($B52,'ETAPA OBRA'!$B:$B,0))="x",'ETAPA OBRA'!C$1&amp;", ","")&amp;
IF(INDEX('ETAPA OBRA'!D:D,MATCH($B52,'ETAPA OBRA'!$B:$B,0))="x",'ETAPA OBRA'!D$1&amp;", ","")&amp;
IF(INDEX('ETAPA OBRA'!F:F,MATCH($B52,'ETAPA OBRA'!$B:$B,0))="x",'ETAPA OBRA'!F$1&amp;", ","")&amp;
IF(INDEX('ETAPA OBRA'!G:G,MATCH($B52,'ETAPA OBRA'!$B:$B,0))="x",'ETAPA OBRA'!G$1&amp;", ","")&amp;
IF(INDEX('ETAPA OBRA'!H:H,MATCH($B52,'ETAPA OBRA'!$B:$B,0))="x",'ETAPA OBRA'!H$1&amp;", ","")&amp;
IF(INDEX('ETAPA OBRA'!I:I,MATCH($B52,'ETAPA OBRA'!$B:$B,0))="x",'ETAPA OBRA'!I$1&amp;", ","")&amp;
IF(INDEX('ETAPA OBRA'!J:J,MATCH($B52,'ETAPA OBRA'!$B:$B,0))="x",'ETAPA OBRA'!J$1&amp;", ","")&amp;
IF(INDEX('ETAPA OBRA'!K:K,MATCH($B52,'ETAPA OBRA'!$B:$B,0))="x",'ETAPA OBRA'!K$1&amp;", ","")&amp;
IF(INDEX('ETAPA OBRA'!L:L,MATCH($B52,'ETAPA OBRA'!$B:$B,0))="x",'ETAPA OBRA'!L$1&amp;", ","")&amp;
IF(INDEX('ETAPA OBRA'!M:M,MATCH($B52,'ETAPA OBRA'!$B:$B,0))="x",'ETAPA OBRA'!M$1&amp;", ","")&amp;
IF(INDEX('ETAPA OBRA'!N:N,MATCH($B52,'ETAPA OBRA'!$B:$B,0))="x",'ETAPA OBRA'!N$1&amp;", ","")&amp;
IF(INDEX('ETAPA OBRA'!O:O,MATCH($B52,'ETAPA OBRA'!$B:$B,0))="x",'ETAPA OBRA'!O$1&amp;", ","")&amp;
IF(INDEX('ETAPA OBRA'!P:P,MATCH($B52,'ETAPA OBRA'!$B:$B,0))="x",'ETAPA OBRA'!P$1&amp;", ","")&amp;
IF(INDEX('ETAPA OBRA'!Q:Q,MATCH($B52,'ETAPA OBRA'!$B:$B,0))="x",'ETAPA OBRA'!Q$1&amp;", ","")&amp;
IF(INDEX('ETAPA OBRA'!R:R,MATCH($B52,'ETAPA OBRA'!$B:$B,0))="x",'ETAPA OBRA'!R$1&amp;", ","")&amp;
IF(INDEX('ETAPA OBRA'!S:S,MATCH($B52,'ETAPA OBRA'!$B:$B,0))="x",'ETAPA OBRA'!S$1&amp;", ","")&amp;
IF(INDEX('ETAPA OBRA'!T:T,MATCH($B52,'ETAPA OBRA'!$B:$B,0))="x",'ETAPA OBRA'!T$1&amp;", ","")&amp;
IF(INDEX('ETAPA OBRA'!U:U,MATCH($B52,'ETAPA OBRA'!$B:$B,0))="x",'ETAPA OBRA'!U$1&amp;", ",""),LEN(
IF(INDEX('ETAPA OBRA'!C:C,MATCH($B52,'ETAPA OBRA'!$B:$B,0))="x",'ETAPA OBRA'!C$1&amp;", ","")&amp;
IF(INDEX('ETAPA OBRA'!D:D,MATCH($B52,'ETAPA OBRA'!$B:$B,0))="x",'ETAPA OBRA'!D$1&amp;", ","")&amp;
IF(INDEX('ETAPA OBRA'!F:F,MATCH($B52,'ETAPA OBRA'!$B:$B,0))="x",'ETAPA OBRA'!F$1&amp;", ","")&amp;
IF(INDEX('ETAPA OBRA'!G:G,MATCH($B52,'ETAPA OBRA'!$B:$B,0))="x",'ETAPA OBRA'!G$1&amp;", ","")&amp;
IF(INDEX('ETAPA OBRA'!H:H,MATCH($B52,'ETAPA OBRA'!$B:$B,0))="x",'ETAPA OBRA'!H$1&amp;", ","")&amp;
IF(INDEX('ETAPA OBRA'!I:I,MATCH($B52,'ETAPA OBRA'!$B:$B,0))="x",'ETAPA OBRA'!I$1&amp;", ","")&amp;
IF(INDEX('ETAPA OBRA'!J:J,MATCH($B52,'ETAPA OBRA'!$B:$B,0))="x",'ETAPA OBRA'!J$1&amp;", ","")&amp;
IF(INDEX('ETAPA OBRA'!K:K,MATCH($B52,'ETAPA OBRA'!$B:$B,0))="x",'ETAPA OBRA'!K$1&amp;", ","")&amp;
IF(INDEX('ETAPA OBRA'!L:L,MATCH($B52,'ETAPA OBRA'!$B:$B,0))="x",'ETAPA OBRA'!L$1&amp;", ","")&amp;
IF(INDEX('ETAPA OBRA'!M:M,MATCH($B52,'ETAPA OBRA'!$B:$B,0))="x",'ETAPA OBRA'!M$1&amp;", ","")&amp;
IF(INDEX('ETAPA OBRA'!N:N,MATCH($B52,'ETAPA OBRA'!$B:$B,0))="x",'ETAPA OBRA'!N$1&amp;", ","")&amp;
IF(INDEX('ETAPA OBRA'!O:O,MATCH($B52,'ETAPA OBRA'!$B:$B,0))="x",'ETAPA OBRA'!O$1&amp;", ","")&amp;
IF(INDEX('ETAPA OBRA'!P:P,MATCH($B52,'ETAPA OBRA'!$B:$B,0))="x",'ETAPA OBRA'!P$1&amp;", ","")&amp;
IF(INDEX('ETAPA OBRA'!Q:Q,MATCH($B52,'ETAPA OBRA'!$B:$B,0))="x",'ETAPA OBRA'!Q$1&amp;", ","")&amp;
IF(INDEX('ETAPA OBRA'!R:R,MATCH($B52,'ETAPA OBRA'!$B:$B,0))="x",'ETAPA OBRA'!R$1&amp;", ","")&amp;
IF(INDEX('ETAPA OBRA'!S:S,MATCH($B52,'ETAPA OBRA'!$B:$B,0))="x",'ETAPA OBRA'!S$1&amp;", ","")&amp;
IF(INDEX('ETAPA OBRA'!T:T,MATCH($B52,'ETAPA OBRA'!$B:$B,0))="x",'ETAPA OBRA'!T$1&amp;", ","")&amp;
IF(INDEX('ETAPA OBRA'!U:U,MATCH($B52,'ETAPA OBRA'!$B:$B,0))="x",'ETAPA OBRA'!U$1&amp;", ","")
)-2),"")</f>
        <v xml:space="preserve">Envio RFI </v>
      </c>
      <c r="N52" s="23" t="str">
        <f t="shared" ca="1" si="5"/>
        <v>Em andamento</v>
      </c>
      <c r="O52" s="28">
        <v>90000</v>
      </c>
      <c r="P52" s="37">
        <f t="shared" si="1"/>
        <v>23589.25</v>
      </c>
      <c r="Q52" s="28">
        <f t="shared" si="6"/>
        <v>66410.75</v>
      </c>
      <c r="R52" s="29">
        <f t="shared" si="7"/>
        <v>0.7378972222222222</v>
      </c>
      <c r="S52" s="23" t="str">
        <f t="shared" si="8"/>
        <v>✅ OK - Fechar Parceiro</v>
      </c>
      <c r="T52" s="23" t="str">
        <f ca="1">Cronograma[[#This Row],[STATUS]]</f>
        <v>⏰ ATRASADO</v>
      </c>
    </row>
    <row r="53" spans="1:20" ht="14.4" x14ac:dyDescent="0.3">
      <c r="A53" s="23" t="s">
        <v>178</v>
      </c>
      <c r="B53" s="23" t="str">
        <f>IF(A53&lt;&gt;"","contel-"&amp;TEXT(COUNTA($A$2:A53),"00"),"")</f>
        <v>contel-52</v>
      </c>
      <c r="C53" s="23" t="s">
        <v>120</v>
      </c>
      <c r="D53" s="23" t="s">
        <v>96</v>
      </c>
      <c r="E53" s="23" t="s">
        <v>97</v>
      </c>
      <c r="F53" s="52" t="s">
        <v>179</v>
      </c>
      <c r="G53" s="23">
        <v>1793</v>
      </c>
      <c r="H53" s="24">
        <v>3763</v>
      </c>
      <c r="I53" s="23" t="s">
        <v>63</v>
      </c>
      <c r="J53" s="25">
        <f>SUM(EQUIPE!C53,EQUIPE!E53,EQUIPE!G53,EQUIPE!I53,EQUIPE!K53,EQUIPE!M53,EQUIPE!O53)</f>
        <v>2000</v>
      </c>
      <c r="K53" s="25">
        <v>9427.4699999999993</v>
      </c>
      <c r="L53" s="25">
        <v>0</v>
      </c>
      <c r="M53" s="27" t="str">
        <f>IFERROR(LEFT(
IF(INDEX('ETAPA OBRA'!C:C,MATCH($B53,'ETAPA OBRA'!$B:$B,0))="x",'ETAPA OBRA'!C$1&amp;", ","")&amp;
IF(INDEX('ETAPA OBRA'!D:D,MATCH($B53,'ETAPA OBRA'!$B:$B,0))="x",'ETAPA OBRA'!D$1&amp;", ","")&amp;
IF(INDEX('ETAPA OBRA'!F:F,MATCH($B53,'ETAPA OBRA'!$B:$B,0))="x",'ETAPA OBRA'!F$1&amp;", ","")&amp;
IF(INDEX('ETAPA OBRA'!G:G,MATCH($B53,'ETAPA OBRA'!$B:$B,0))="x",'ETAPA OBRA'!G$1&amp;", ","")&amp;
IF(INDEX('ETAPA OBRA'!H:H,MATCH($B53,'ETAPA OBRA'!$B:$B,0))="x",'ETAPA OBRA'!H$1&amp;", ","")&amp;
IF(INDEX('ETAPA OBRA'!I:I,MATCH($B53,'ETAPA OBRA'!$B:$B,0))="x",'ETAPA OBRA'!I$1&amp;", ","")&amp;
IF(INDEX('ETAPA OBRA'!J:J,MATCH($B53,'ETAPA OBRA'!$B:$B,0))="x",'ETAPA OBRA'!J$1&amp;", ","")&amp;
IF(INDEX('ETAPA OBRA'!K:K,MATCH($B53,'ETAPA OBRA'!$B:$B,0))="x",'ETAPA OBRA'!K$1&amp;", ","")&amp;
IF(INDEX('ETAPA OBRA'!L:L,MATCH($B53,'ETAPA OBRA'!$B:$B,0))="x",'ETAPA OBRA'!L$1&amp;", ","")&amp;
IF(INDEX('ETAPA OBRA'!M:M,MATCH($B53,'ETAPA OBRA'!$B:$B,0))="x",'ETAPA OBRA'!M$1&amp;", ","")&amp;
IF(INDEX('ETAPA OBRA'!N:N,MATCH($B53,'ETAPA OBRA'!$B:$B,0))="x",'ETAPA OBRA'!N$1&amp;", ","")&amp;
IF(INDEX('ETAPA OBRA'!O:O,MATCH($B53,'ETAPA OBRA'!$B:$B,0))="x",'ETAPA OBRA'!O$1&amp;", ","")&amp;
IF(INDEX('ETAPA OBRA'!P:P,MATCH($B53,'ETAPA OBRA'!$B:$B,0))="x",'ETAPA OBRA'!P$1&amp;", ","")&amp;
IF(INDEX('ETAPA OBRA'!Q:Q,MATCH($B53,'ETAPA OBRA'!$B:$B,0))="x",'ETAPA OBRA'!Q$1&amp;", ","")&amp;
IF(INDEX('ETAPA OBRA'!R:R,MATCH($B53,'ETAPA OBRA'!$B:$B,0))="x",'ETAPA OBRA'!R$1&amp;", ","")&amp;
IF(INDEX('ETAPA OBRA'!S:S,MATCH($B53,'ETAPA OBRA'!$B:$B,0))="x",'ETAPA OBRA'!S$1&amp;", ","")&amp;
IF(INDEX('ETAPA OBRA'!T:T,MATCH($B53,'ETAPA OBRA'!$B:$B,0))="x",'ETAPA OBRA'!T$1&amp;", ","")&amp;
IF(INDEX('ETAPA OBRA'!U:U,MATCH($B53,'ETAPA OBRA'!$B:$B,0))="x",'ETAPA OBRA'!U$1&amp;", ",""),LEN(
IF(INDEX('ETAPA OBRA'!C:C,MATCH($B53,'ETAPA OBRA'!$B:$B,0))="x",'ETAPA OBRA'!C$1&amp;", ","")&amp;
IF(INDEX('ETAPA OBRA'!D:D,MATCH($B53,'ETAPA OBRA'!$B:$B,0))="x",'ETAPA OBRA'!D$1&amp;", ","")&amp;
IF(INDEX('ETAPA OBRA'!F:F,MATCH($B53,'ETAPA OBRA'!$B:$B,0))="x",'ETAPA OBRA'!F$1&amp;", ","")&amp;
IF(INDEX('ETAPA OBRA'!G:G,MATCH($B53,'ETAPA OBRA'!$B:$B,0))="x",'ETAPA OBRA'!G$1&amp;", ","")&amp;
IF(INDEX('ETAPA OBRA'!H:H,MATCH($B53,'ETAPA OBRA'!$B:$B,0))="x",'ETAPA OBRA'!H$1&amp;", ","")&amp;
IF(INDEX('ETAPA OBRA'!I:I,MATCH($B53,'ETAPA OBRA'!$B:$B,0))="x",'ETAPA OBRA'!I$1&amp;", ","")&amp;
IF(INDEX('ETAPA OBRA'!J:J,MATCH($B53,'ETAPA OBRA'!$B:$B,0))="x",'ETAPA OBRA'!J$1&amp;", ","")&amp;
IF(INDEX('ETAPA OBRA'!K:K,MATCH($B53,'ETAPA OBRA'!$B:$B,0))="x",'ETAPA OBRA'!K$1&amp;", ","")&amp;
IF(INDEX('ETAPA OBRA'!L:L,MATCH($B53,'ETAPA OBRA'!$B:$B,0))="x",'ETAPA OBRA'!L$1&amp;", ","")&amp;
IF(INDEX('ETAPA OBRA'!M:M,MATCH($B53,'ETAPA OBRA'!$B:$B,0))="x",'ETAPA OBRA'!M$1&amp;", ","")&amp;
IF(INDEX('ETAPA OBRA'!N:N,MATCH($B53,'ETAPA OBRA'!$B:$B,0))="x",'ETAPA OBRA'!N$1&amp;", ","")&amp;
IF(INDEX('ETAPA OBRA'!O:O,MATCH($B53,'ETAPA OBRA'!$B:$B,0))="x",'ETAPA OBRA'!O$1&amp;", ","")&amp;
IF(INDEX('ETAPA OBRA'!P:P,MATCH($B53,'ETAPA OBRA'!$B:$B,0))="x",'ETAPA OBRA'!P$1&amp;", ","")&amp;
IF(INDEX('ETAPA OBRA'!Q:Q,MATCH($B53,'ETAPA OBRA'!$B:$B,0))="x",'ETAPA OBRA'!Q$1&amp;", ","")&amp;
IF(INDEX('ETAPA OBRA'!R:R,MATCH($B53,'ETAPA OBRA'!$B:$B,0))="x",'ETAPA OBRA'!R$1&amp;", ","")&amp;
IF(INDEX('ETAPA OBRA'!S:S,MATCH($B53,'ETAPA OBRA'!$B:$B,0))="x",'ETAPA OBRA'!S$1&amp;", ","")&amp;
IF(INDEX('ETAPA OBRA'!T:T,MATCH($B53,'ETAPA OBRA'!$B:$B,0))="x",'ETAPA OBRA'!T$1&amp;", ","")&amp;
IF(INDEX('ETAPA OBRA'!U:U,MATCH($B53,'ETAPA OBRA'!$B:$B,0))="x",'ETAPA OBRA'!U$1&amp;", ","")
)-2),"")</f>
        <v>Finalizado</v>
      </c>
      <c r="N53" s="23" t="str">
        <f t="shared" si="5"/>
        <v>Finalizado</v>
      </c>
      <c r="O53" s="28">
        <v>21692.34</v>
      </c>
      <c r="P53" s="37">
        <f t="shared" si="1"/>
        <v>11427.47</v>
      </c>
      <c r="Q53" s="28">
        <f t="shared" si="6"/>
        <v>10264.870000000001</v>
      </c>
      <c r="R53" s="29">
        <f t="shared" si="7"/>
        <v>0.47320252218064074</v>
      </c>
      <c r="S53" s="23" t="str">
        <f t="shared" si="8"/>
        <v>✅ OK - Fechar Parceiro</v>
      </c>
      <c r="T53" s="23" t="str">
        <f>Cronograma[[#This Row],[STATUS]]</f>
        <v>✅ CONCLUÍDO</v>
      </c>
    </row>
    <row r="54" spans="1:20" ht="14.4" x14ac:dyDescent="0.3">
      <c r="A54" s="23" t="s">
        <v>180</v>
      </c>
      <c r="B54" s="23" t="str">
        <f>IF(A54&lt;&gt;"","contel-"&amp;TEXT(COUNTA($A$2:A54),"00"),"")</f>
        <v>contel-53</v>
      </c>
      <c r="C54" s="23" t="s">
        <v>21</v>
      </c>
      <c r="D54" s="23" t="s">
        <v>181</v>
      </c>
      <c r="E54" s="23" t="s">
        <v>132</v>
      </c>
      <c r="F54" s="52" t="s">
        <v>182</v>
      </c>
      <c r="G54" s="23">
        <v>1794</v>
      </c>
      <c r="H54" s="24">
        <v>16545</v>
      </c>
      <c r="I54" s="23" t="s">
        <v>63</v>
      </c>
      <c r="J54" s="25">
        <f>SUM(EQUIPE!C54,EQUIPE!E54,EQUIPE!G54,EQUIPE!I54,EQUIPE!K54,EQUIPE!M54,EQUIPE!O54)</f>
        <v>13500</v>
      </c>
      <c r="K54" s="25">
        <v>6254.86</v>
      </c>
      <c r="L54" s="25">
        <v>2935.59</v>
      </c>
      <c r="M54" s="27" t="str">
        <f ca="1">IFERROR(LEFT(
IF(INDEX('ETAPA OBRA'!C:C,MATCH($B54,'ETAPA OBRA'!$B:$B,0))="x",'ETAPA OBRA'!C$1&amp;", ","")&amp;
IF(INDEX('ETAPA OBRA'!D:D,MATCH($B54,'ETAPA OBRA'!$B:$B,0))="x",'ETAPA OBRA'!D$1&amp;", ","")&amp;
IF(INDEX('ETAPA OBRA'!F:F,MATCH($B54,'ETAPA OBRA'!$B:$B,0))="x",'ETAPA OBRA'!F$1&amp;", ","")&amp;
IF(INDEX('ETAPA OBRA'!G:G,MATCH($B54,'ETAPA OBRA'!$B:$B,0))="x",'ETAPA OBRA'!G$1&amp;", ","")&amp;
IF(INDEX('ETAPA OBRA'!H:H,MATCH($B54,'ETAPA OBRA'!$B:$B,0))="x",'ETAPA OBRA'!H$1&amp;", ","")&amp;
IF(INDEX('ETAPA OBRA'!I:I,MATCH($B54,'ETAPA OBRA'!$B:$B,0))="x",'ETAPA OBRA'!I$1&amp;", ","")&amp;
IF(INDEX('ETAPA OBRA'!J:J,MATCH($B54,'ETAPA OBRA'!$B:$B,0))="x",'ETAPA OBRA'!J$1&amp;", ","")&amp;
IF(INDEX('ETAPA OBRA'!K:K,MATCH($B54,'ETAPA OBRA'!$B:$B,0))="x",'ETAPA OBRA'!K$1&amp;", ","")&amp;
IF(INDEX('ETAPA OBRA'!L:L,MATCH($B54,'ETAPA OBRA'!$B:$B,0))="x",'ETAPA OBRA'!L$1&amp;", ","")&amp;
IF(INDEX('ETAPA OBRA'!M:M,MATCH($B54,'ETAPA OBRA'!$B:$B,0))="x",'ETAPA OBRA'!M$1&amp;", ","")&amp;
IF(INDEX('ETAPA OBRA'!N:N,MATCH($B54,'ETAPA OBRA'!$B:$B,0))="x",'ETAPA OBRA'!N$1&amp;", ","")&amp;
IF(INDEX('ETAPA OBRA'!O:O,MATCH($B54,'ETAPA OBRA'!$B:$B,0))="x",'ETAPA OBRA'!O$1&amp;", ","")&amp;
IF(INDEX('ETAPA OBRA'!P:P,MATCH($B54,'ETAPA OBRA'!$B:$B,0))="x",'ETAPA OBRA'!P$1&amp;", ","")&amp;
IF(INDEX('ETAPA OBRA'!Q:Q,MATCH($B54,'ETAPA OBRA'!$B:$B,0))="x",'ETAPA OBRA'!Q$1&amp;", ","")&amp;
IF(INDEX('ETAPA OBRA'!R:R,MATCH($B54,'ETAPA OBRA'!$B:$B,0))="x",'ETAPA OBRA'!R$1&amp;", ","")&amp;
IF(INDEX('ETAPA OBRA'!S:S,MATCH($B54,'ETAPA OBRA'!$B:$B,0))="x",'ETAPA OBRA'!S$1&amp;", ","")&amp;
IF(INDEX('ETAPA OBRA'!T:T,MATCH($B54,'ETAPA OBRA'!$B:$B,0))="x",'ETAPA OBRA'!T$1&amp;", ","")&amp;
IF(INDEX('ETAPA OBRA'!U:U,MATCH($B54,'ETAPA OBRA'!$B:$B,0))="x",'ETAPA OBRA'!U$1&amp;", ",""),LEN(
IF(INDEX('ETAPA OBRA'!C:C,MATCH($B54,'ETAPA OBRA'!$B:$B,0))="x",'ETAPA OBRA'!C$1&amp;", ","")&amp;
IF(INDEX('ETAPA OBRA'!D:D,MATCH($B54,'ETAPA OBRA'!$B:$B,0))="x",'ETAPA OBRA'!D$1&amp;", ","")&amp;
IF(INDEX('ETAPA OBRA'!F:F,MATCH($B54,'ETAPA OBRA'!$B:$B,0))="x",'ETAPA OBRA'!F$1&amp;", ","")&amp;
IF(INDEX('ETAPA OBRA'!G:G,MATCH($B54,'ETAPA OBRA'!$B:$B,0))="x",'ETAPA OBRA'!G$1&amp;", ","")&amp;
IF(INDEX('ETAPA OBRA'!H:H,MATCH($B54,'ETAPA OBRA'!$B:$B,0))="x",'ETAPA OBRA'!H$1&amp;", ","")&amp;
IF(INDEX('ETAPA OBRA'!I:I,MATCH($B54,'ETAPA OBRA'!$B:$B,0))="x",'ETAPA OBRA'!I$1&amp;", ","")&amp;
IF(INDEX('ETAPA OBRA'!J:J,MATCH($B54,'ETAPA OBRA'!$B:$B,0))="x",'ETAPA OBRA'!J$1&amp;", ","")&amp;
IF(INDEX('ETAPA OBRA'!K:K,MATCH($B54,'ETAPA OBRA'!$B:$B,0))="x",'ETAPA OBRA'!K$1&amp;", ","")&amp;
IF(INDEX('ETAPA OBRA'!L:L,MATCH($B54,'ETAPA OBRA'!$B:$B,0))="x",'ETAPA OBRA'!L$1&amp;", ","")&amp;
IF(INDEX('ETAPA OBRA'!M:M,MATCH($B54,'ETAPA OBRA'!$B:$B,0))="x",'ETAPA OBRA'!M$1&amp;", ","")&amp;
IF(INDEX('ETAPA OBRA'!N:N,MATCH($B54,'ETAPA OBRA'!$B:$B,0))="x",'ETAPA OBRA'!N$1&amp;", ","")&amp;
IF(INDEX('ETAPA OBRA'!O:O,MATCH($B54,'ETAPA OBRA'!$B:$B,0))="x",'ETAPA OBRA'!O$1&amp;", ","")&amp;
IF(INDEX('ETAPA OBRA'!P:P,MATCH($B54,'ETAPA OBRA'!$B:$B,0))="x",'ETAPA OBRA'!P$1&amp;", ","")&amp;
IF(INDEX('ETAPA OBRA'!Q:Q,MATCH($B54,'ETAPA OBRA'!$B:$B,0))="x",'ETAPA OBRA'!Q$1&amp;", ","")&amp;
IF(INDEX('ETAPA OBRA'!R:R,MATCH($B54,'ETAPA OBRA'!$B:$B,0))="x",'ETAPA OBRA'!R$1&amp;", ","")&amp;
IF(INDEX('ETAPA OBRA'!S:S,MATCH($B54,'ETAPA OBRA'!$B:$B,0))="x",'ETAPA OBRA'!S$1&amp;", ","")&amp;
IF(INDEX('ETAPA OBRA'!T:T,MATCH($B54,'ETAPA OBRA'!$B:$B,0))="x",'ETAPA OBRA'!T$1&amp;", ","")&amp;
IF(INDEX('ETAPA OBRA'!U:U,MATCH($B54,'ETAPA OBRA'!$B:$B,0))="x",'ETAPA OBRA'!U$1&amp;", ","")
)-2),"")</f>
        <v>Execução</v>
      </c>
      <c r="N54" s="23" t="str">
        <f t="shared" ca="1" si="5"/>
        <v>Em andamento</v>
      </c>
      <c r="O54" s="28">
        <v>49865.72</v>
      </c>
      <c r="P54" s="37">
        <f t="shared" si="1"/>
        <v>22690.45</v>
      </c>
      <c r="Q54" s="28">
        <f t="shared" si="6"/>
        <v>27175.27</v>
      </c>
      <c r="R54" s="29">
        <f t="shared" si="7"/>
        <v>0.54496896866223932</v>
      </c>
      <c r="S54" s="23" t="str">
        <f t="shared" si="8"/>
        <v>✅ OK - Fechar Parceiro</v>
      </c>
      <c r="T54" s="23" t="str">
        <f ca="1">Cronograma[[#This Row],[STATUS]]</f>
        <v>⏰ ATRASADO</v>
      </c>
    </row>
    <row r="55" spans="1:20" ht="14.4" x14ac:dyDescent="0.3">
      <c r="A55" s="23">
        <v>38010003</v>
      </c>
      <c r="B55" s="23" t="str">
        <f>IF(A55&lt;&gt;"","contel-"&amp;TEXT(COUNTA($A$2:A55),"00"),"")</f>
        <v>contel-54</v>
      </c>
      <c r="C55" s="23" t="s">
        <v>35</v>
      </c>
      <c r="D55" s="23" t="s">
        <v>183</v>
      </c>
      <c r="E55" s="23" t="s">
        <v>32</v>
      </c>
      <c r="F55" s="52" t="s">
        <v>184</v>
      </c>
      <c r="G55" s="23">
        <v>1796</v>
      </c>
      <c r="H55" s="24">
        <v>16581</v>
      </c>
      <c r="I55" s="23" t="s">
        <v>63</v>
      </c>
      <c r="J55" s="25">
        <f>SUM(EQUIPE!C55,EQUIPE!E55,EQUIPE!G55,EQUIPE!I55,EQUIPE!K55,EQUIPE!M55,EQUIPE!O55)</f>
        <v>51000</v>
      </c>
      <c r="K55" s="25">
        <v>0</v>
      </c>
      <c r="L55" s="25">
        <v>5230.92</v>
      </c>
      <c r="M55" s="27" t="str">
        <f ca="1">IFERROR(LEFT(
IF(INDEX('ETAPA OBRA'!C:C,MATCH($B55,'ETAPA OBRA'!$B:$B,0))="x",'ETAPA OBRA'!C$1&amp;", ","")&amp;
IF(INDEX('ETAPA OBRA'!D:D,MATCH($B55,'ETAPA OBRA'!$B:$B,0))="x",'ETAPA OBRA'!D$1&amp;", ","")&amp;
IF(INDEX('ETAPA OBRA'!F:F,MATCH($B55,'ETAPA OBRA'!$B:$B,0))="x",'ETAPA OBRA'!F$1&amp;", ","")&amp;
IF(INDEX('ETAPA OBRA'!G:G,MATCH($B55,'ETAPA OBRA'!$B:$B,0))="x",'ETAPA OBRA'!G$1&amp;", ","")&amp;
IF(INDEX('ETAPA OBRA'!H:H,MATCH($B55,'ETAPA OBRA'!$B:$B,0))="x",'ETAPA OBRA'!H$1&amp;", ","")&amp;
IF(INDEX('ETAPA OBRA'!I:I,MATCH($B55,'ETAPA OBRA'!$B:$B,0))="x",'ETAPA OBRA'!I$1&amp;", ","")&amp;
IF(INDEX('ETAPA OBRA'!J:J,MATCH($B55,'ETAPA OBRA'!$B:$B,0))="x",'ETAPA OBRA'!J$1&amp;", ","")&amp;
IF(INDEX('ETAPA OBRA'!K:K,MATCH($B55,'ETAPA OBRA'!$B:$B,0))="x",'ETAPA OBRA'!K$1&amp;", ","")&amp;
IF(INDEX('ETAPA OBRA'!L:L,MATCH($B55,'ETAPA OBRA'!$B:$B,0))="x",'ETAPA OBRA'!L$1&amp;", ","")&amp;
IF(INDEX('ETAPA OBRA'!M:M,MATCH($B55,'ETAPA OBRA'!$B:$B,0))="x",'ETAPA OBRA'!M$1&amp;", ","")&amp;
IF(INDEX('ETAPA OBRA'!N:N,MATCH($B55,'ETAPA OBRA'!$B:$B,0))="x",'ETAPA OBRA'!N$1&amp;", ","")&amp;
IF(INDEX('ETAPA OBRA'!O:O,MATCH($B55,'ETAPA OBRA'!$B:$B,0))="x",'ETAPA OBRA'!O$1&amp;", ","")&amp;
IF(INDEX('ETAPA OBRA'!P:P,MATCH($B55,'ETAPA OBRA'!$B:$B,0))="x",'ETAPA OBRA'!P$1&amp;", ","")&amp;
IF(INDEX('ETAPA OBRA'!Q:Q,MATCH($B55,'ETAPA OBRA'!$B:$B,0))="x",'ETAPA OBRA'!Q$1&amp;", ","")&amp;
IF(INDEX('ETAPA OBRA'!R:R,MATCH($B55,'ETAPA OBRA'!$B:$B,0))="x",'ETAPA OBRA'!R$1&amp;", ","")&amp;
IF(INDEX('ETAPA OBRA'!S:S,MATCH($B55,'ETAPA OBRA'!$B:$B,0))="x",'ETAPA OBRA'!S$1&amp;", ","")&amp;
IF(INDEX('ETAPA OBRA'!T:T,MATCH($B55,'ETAPA OBRA'!$B:$B,0))="x",'ETAPA OBRA'!T$1&amp;", ","")&amp;
IF(INDEX('ETAPA OBRA'!U:U,MATCH($B55,'ETAPA OBRA'!$B:$B,0))="x",'ETAPA OBRA'!U$1&amp;", ",""),LEN(
IF(INDEX('ETAPA OBRA'!C:C,MATCH($B55,'ETAPA OBRA'!$B:$B,0))="x",'ETAPA OBRA'!C$1&amp;", ","")&amp;
IF(INDEX('ETAPA OBRA'!D:D,MATCH($B55,'ETAPA OBRA'!$B:$B,0))="x",'ETAPA OBRA'!D$1&amp;", ","")&amp;
IF(INDEX('ETAPA OBRA'!F:F,MATCH($B55,'ETAPA OBRA'!$B:$B,0))="x",'ETAPA OBRA'!F$1&amp;", ","")&amp;
IF(INDEX('ETAPA OBRA'!G:G,MATCH($B55,'ETAPA OBRA'!$B:$B,0))="x",'ETAPA OBRA'!G$1&amp;", ","")&amp;
IF(INDEX('ETAPA OBRA'!H:H,MATCH($B55,'ETAPA OBRA'!$B:$B,0))="x",'ETAPA OBRA'!H$1&amp;", ","")&amp;
IF(INDEX('ETAPA OBRA'!I:I,MATCH($B55,'ETAPA OBRA'!$B:$B,0))="x",'ETAPA OBRA'!I$1&amp;", ","")&amp;
IF(INDEX('ETAPA OBRA'!J:J,MATCH($B55,'ETAPA OBRA'!$B:$B,0))="x",'ETAPA OBRA'!J$1&amp;", ","")&amp;
IF(INDEX('ETAPA OBRA'!K:K,MATCH($B55,'ETAPA OBRA'!$B:$B,0))="x",'ETAPA OBRA'!K$1&amp;", ","")&amp;
IF(INDEX('ETAPA OBRA'!L:L,MATCH($B55,'ETAPA OBRA'!$B:$B,0))="x",'ETAPA OBRA'!L$1&amp;", ","")&amp;
IF(INDEX('ETAPA OBRA'!M:M,MATCH($B55,'ETAPA OBRA'!$B:$B,0))="x",'ETAPA OBRA'!M$1&amp;", ","")&amp;
IF(INDEX('ETAPA OBRA'!N:N,MATCH($B55,'ETAPA OBRA'!$B:$B,0))="x",'ETAPA OBRA'!N$1&amp;", ","")&amp;
IF(INDEX('ETAPA OBRA'!O:O,MATCH($B55,'ETAPA OBRA'!$B:$B,0))="x",'ETAPA OBRA'!O$1&amp;", ","")&amp;
IF(INDEX('ETAPA OBRA'!P:P,MATCH($B55,'ETAPA OBRA'!$B:$B,0))="x",'ETAPA OBRA'!P$1&amp;", ","")&amp;
IF(INDEX('ETAPA OBRA'!Q:Q,MATCH($B55,'ETAPA OBRA'!$B:$B,0))="x",'ETAPA OBRA'!Q$1&amp;", ","")&amp;
IF(INDEX('ETAPA OBRA'!R:R,MATCH($B55,'ETAPA OBRA'!$B:$B,0))="x",'ETAPA OBRA'!R$1&amp;", ","")&amp;
IF(INDEX('ETAPA OBRA'!S:S,MATCH($B55,'ETAPA OBRA'!$B:$B,0))="x",'ETAPA OBRA'!S$1&amp;", ","")&amp;
IF(INDEX('ETAPA OBRA'!T:T,MATCH($B55,'ETAPA OBRA'!$B:$B,0))="x",'ETAPA OBRA'!T$1&amp;", ","")&amp;
IF(INDEX('ETAPA OBRA'!U:U,MATCH($B55,'ETAPA OBRA'!$B:$B,0))="x",'ETAPA OBRA'!U$1&amp;", ","")
)-2),"")</f>
        <v>Execução</v>
      </c>
      <c r="N55" s="23" t="str">
        <f t="shared" ca="1" si="5"/>
        <v>Em andamento</v>
      </c>
      <c r="O55" s="28">
        <v>120000</v>
      </c>
      <c r="P55" s="37">
        <f t="shared" si="1"/>
        <v>56230.92</v>
      </c>
      <c r="Q55" s="28">
        <f t="shared" si="6"/>
        <v>63769.08</v>
      </c>
      <c r="R55" s="29">
        <f t="shared" si="7"/>
        <v>0.53140900000000002</v>
      </c>
      <c r="S55" s="23" t="str">
        <f t="shared" si="8"/>
        <v>✅ OK - Fechar Parceiro</v>
      </c>
      <c r="T55" s="23" t="str">
        <f ca="1">Cronograma[[#This Row],[STATUS]]</f>
        <v>⏰ ATRASADO</v>
      </c>
    </row>
    <row r="56" spans="1:20" ht="14.4" x14ac:dyDescent="0.3">
      <c r="A56" s="23" t="s">
        <v>185</v>
      </c>
      <c r="B56" s="23" t="str">
        <f>IF(A56&lt;&gt;"","contel-"&amp;TEXT(COUNTA($A$2:A56),"00"),"")</f>
        <v>contel-55</v>
      </c>
      <c r="C56" s="23" t="s">
        <v>186</v>
      </c>
      <c r="D56" s="23" t="s">
        <v>187</v>
      </c>
      <c r="E56" s="23" t="s">
        <v>188</v>
      </c>
      <c r="F56" s="52" t="s">
        <v>189</v>
      </c>
      <c r="G56" s="23">
        <v>1799</v>
      </c>
      <c r="H56" s="24">
        <v>16612</v>
      </c>
      <c r="I56" s="23" t="s">
        <v>25</v>
      </c>
      <c r="J56" s="25">
        <f>SUM(EQUIPE!C56,EQUIPE!E56,EQUIPE!G56,EQUIPE!I56,EQUIPE!K56,EQUIPE!M56,EQUIPE!O56)</f>
        <v>1900</v>
      </c>
      <c r="K56" s="25">
        <v>0</v>
      </c>
      <c r="L56" s="25">
        <v>0</v>
      </c>
      <c r="M56" s="27" t="str">
        <f>IFERROR(LEFT(
IF(INDEX('ETAPA OBRA'!C:C,MATCH($B56,'ETAPA OBRA'!$B:$B,0))="x",'ETAPA OBRA'!C$1&amp;", ","")&amp;
IF(INDEX('ETAPA OBRA'!D:D,MATCH($B56,'ETAPA OBRA'!$B:$B,0))="x",'ETAPA OBRA'!D$1&amp;", ","")&amp;
IF(INDEX('ETAPA OBRA'!F:F,MATCH($B56,'ETAPA OBRA'!$B:$B,0))="x",'ETAPA OBRA'!F$1&amp;", ","")&amp;
IF(INDEX('ETAPA OBRA'!G:G,MATCH($B56,'ETAPA OBRA'!$B:$B,0))="x",'ETAPA OBRA'!G$1&amp;", ","")&amp;
IF(INDEX('ETAPA OBRA'!H:H,MATCH($B56,'ETAPA OBRA'!$B:$B,0))="x",'ETAPA OBRA'!H$1&amp;", ","")&amp;
IF(INDEX('ETAPA OBRA'!I:I,MATCH($B56,'ETAPA OBRA'!$B:$B,0))="x",'ETAPA OBRA'!I$1&amp;", ","")&amp;
IF(INDEX('ETAPA OBRA'!J:J,MATCH($B56,'ETAPA OBRA'!$B:$B,0))="x",'ETAPA OBRA'!J$1&amp;", ","")&amp;
IF(INDEX('ETAPA OBRA'!K:K,MATCH($B56,'ETAPA OBRA'!$B:$B,0))="x",'ETAPA OBRA'!K$1&amp;", ","")&amp;
IF(INDEX('ETAPA OBRA'!L:L,MATCH($B56,'ETAPA OBRA'!$B:$B,0))="x",'ETAPA OBRA'!L$1&amp;", ","")&amp;
IF(INDEX('ETAPA OBRA'!M:M,MATCH($B56,'ETAPA OBRA'!$B:$B,0))="x",'ETAPA OBRA'!M$1&amp;", ","")&amp;
IF(INDEX('ETAPA OBRA'!N:N,MATCH($B56,'ETAPA OBRA'!$B:$B,0))="x",'ETAPA OBRA'!N$1&amp;", ","")&amp;
IF(INDEX('ETAPA OBRA'!O:O,MATCH($B56,'ETAPA OBRA'!$B:$B,0))="x",'ETAPA OBRA'!O$1&amp;", ","")&amp;
IF(INDEX('ETAPA OBRA'!P:P,MATCH($B56,'ETAPA OBRA'!$B:$B,0))="x",'ETAPA OBRA'!P$1&amp;", ","")&amp;
IF(INDEX('ETAPA OBRA'!Q:Q,MATCH($B56,'ETAPA OBRA'!$B:$B,0))="x",'ETAPA OBRA'!Q$1&amp;", ","")&amp;
IF(INDEX('ETAPA OBRA'!R:R,MATCH($B56,'ETAPA OBRA'!$B:$B,0))="x",'ETAPA OBRA'!R$1&amp;", ","")&amp;
IF(INDEX('ETAPA OBRA'!S:S,MATCH($B56,'ETAPA OBRA'!$B:$B,0))="x",'ETAPA OBRA'!S$1&amp;", ","")&amp;
IF(INDEX('ETAPA OBRA'!T:T,MATCH($B56,'ETAPA OBRA'!$B:$B,0))="x",'ETAPA OBRA'!T$1&amp;", ","")&amp;
IF(INDEX('ETAPA OBRA'!U:U,MATCH($B56,'ETAPA OBRA'!$B:$B,0))="x",'ETAPA OBRA'!U$1&amp;", ",""),LEN(
IF(INDEX('ETAPA OBRA'!C:C,MATCH($B56,'ETAPA OBRA'!$B:$B,0))="x",'ETAPA OBRA'!C$1&amp;", ","")&amp;
IF(INDEX('ETAPA OBRA'!D:D,MATCH($B56,'ETAPA OBRA'!$B:$B,0))="x",'ETAPA OBRA'!D$1&amp;", ","")&amp;
IF(INDEX('ETAPA OBRA'!F:F,MATCH($B56,'ETAPA OBRA'!$B:$B,0))="x",'ETAPA OBRA'!F$1&amp;", ","")&amp;
IF(INDEX('ETAPA OBRA'!G:G,MATCH($B56,'ETAPA OBRA'!$B:$B,0))="x",'ETAPA OBRA'!G$1&amp;", ","")&amp;
IF(INDEX('ETAPA OBRA'!H:H,MATCH($B56,'ETAPA OBRA'!$B:$B,0))="x",'ETAPA OBRA'!H$1&amp;", ","")&amp;
IF(INDEX('ETAPA OBRA'!I:I,MATCH($B56,'ETAPA OBRA'!$B:$B,0))="x",'ETAPA OBRA'!I$1&amp;", ","")&amp;
IF(INDEX('ETAPA OBRA'!J:J,MATCH($B56,'ETAPA OBRA'!$B:$B,0))="x",'ETAPA OBRA'!J$1&amp;", ","")&amp;
IF(INDEX('ETAPA OBRA'!K:K,MATCH($B56,'ETAPA OBRA'!$B:$B,0))="x",'ETAPA OBRA'!K$1&amp;", ","")&amp;
IF(INDEX('ETAPA OBRA'!L:L,MATCH($B56,'ETAPA OBRA'!$B:$B,0))="x",'ETAPA OBRA'!L$1&amp;", ","")&amp;
IF(INDEX('ETAPA OBRA'!M:M,MATCH($B56,'ETAPA OBRA'!$B:$B,0))="x",'ETAPA OBRA'!M$1&amp;", ","")&amp;
IF(INDEX('ETAPA OBRA'!N:N,MATCH($B56,'ETAPA OBRA'!$B:$B,0))="x",'ETAPA OBRA'!N$1&amp;", ","")&amp;
IF(INDEX('ETAPA OBRA'!O:O,MATCH($B56,'ETAPA OBRA'!$B:$B,0))="x",'ETAPA OBRA'!O$1&amp;", ","")&amp;
IF(INDEX('ETAPA OBRA'!P:P,MATCH($B56,'ETAPA OBRA'!$B:$B,0))="x",'ETAPA OBRA'!P$1&amp;", ","")&amp;
IF(INDEX('ETAPA OBRA'!Q:Q,MATCH($B56,'ETAPA OBRA'!$B:$B,0))="x",'ETAPA OBRA'!Q$1&amp;", ","")&amp;
IF(INDEX('ETAPA OBRA'!R:R,MATCH($B56,'ETAPA OBRA'!$B:$B,0))="x",'ETAPA OBRA'!R$1&amp;", ","")&amp;
IF(INDEX('ETAPA OBRA'!S:S,MATCH($B56,'ETAPA OBRA'!$B:$B,0))="x",'ETAPA OBRA'!S$1&amp;", ","")&amp;
IF(INDEX('ETAPA OBRA'!T:T,MATCH($B56,'ETAPA OBRA'!$B:$B,0))="x",'ETAPA OBRA'!T$1&amp;", ","")&amp;
IF(INDEX('ETAPA OBRA'!U:U,MATCH($B56,'ETAPA OBRA'!$B:$B,0))="x",'ETAPA OBRA'!U$1&amp;", ","")
)-2),"")</f>
        <v>Finalizado</v>
      </c>
      <c r="N56" s="23" t="str">
        <f t="shared" si="5"/>
        <v>Finalizado</v>
      </c>
      <c r="O56" s="28">
        <v>8000</v>
      </c>
      <c r="P56" s="37">
        <f t="shared" si="1"/>
        <v>1900</v>
      </c>
      <c r="Q56" s="28">
        <f t="shared" si="6"/>
        <v>6100</v>
      </c>
      <c r="R56" s="29">
        <f t="shared" si="7"/>
        <v>0.76249999999999996</v>
      </c>
      <c r="S56" s="23" t="str">
        <f t="shared" si="8"/>
        <v>✅ OK - Fechar Parceiro</v>
      </c>
      <c r="T56" s="23" t="str">
        <f>Cronograma[[#This Row],[STATUS]]</f>
        <v>✅ CONCLUÍDO</v>
      </c>
    </row>
    <row r="57" spans="1:20" ht="14.4" x14ac:dyDescent="0.3">
      <c r="A57" s="23" t="s">
        <v>190</v>
      </c>
      <c r="B57" s="23" t="str">
        <f>IF(A57&lt;&gt;"","contel-"&amp;TEXT(COUNTA($A$2:A57),"00"),"")</f>
        <v>contel-56</v>
      </c>
      <c r="C57" s="23" t="s">
        <v>78</v>
      </c>
      <c r="D57" s="23" t="s">
        <v>191</v>
      </c>
      <c r="E57" s="23" t="s">
        <v>192</v>
      </c>
      <c r="F57" s="52" t="s">
        <v>193</v>
      </c>
      <c r="G57" s="23">
        <v>1803</v>
      </c>
      <c r="H57" s="24">
        <v>16615</v>
      </c>
      <c r="I57" s="23" t="s">
        <v>25</v>
      </c>
      <c r="J57" s="25">
        <f>SUM(EQUIPE!C57,EQUIPE!E57,EQUIPE!G57,EQUIPE!I57,EQUIPE!K57,EQUIPE!M57,EQUIPE!O57)</f>
        <v>5260</v>
      </c>
      <c r="K57" s="25">
        <v>0</v>
      </c>
      <c r="L57" s="25">
        <v>285.58999999999997</v>
      </c>
      <c r="M57" s="27" t="str">
        <f>IFERROR(LEFT(
IF(INDEX('ETAPA OBRA'!C:C,MATCH($B57,'ETAPA OBRA'!$B:$B,0))="x",'ETAPA OBRA'!C$1&amp;", ","")&amp;
IF(INDEX('ETAPA OBRA'!D:D,MATCH($B57,'ETAPA OBRA'!$B:$B,0))="x",'ETAPA OBRA'!D$1&amp;", ","")&amp;
IF(INDEX('ETAPA OBRA'!F:F,MATCH($B57,'ETAPA OBRA'!$B:$B,0))="x",'ETAPA OBRA'!F$1&amp;", ","")&amp;
IF(INDEX('ETAPA OBRA'!G:G,MATCH($B57,'ETAPA OBRA'!$B:$B,0))="x",'ETAPA OBRA'!G$1&amp;", ","")&amp;
IF(INDEX('ETAPA OBRA'!H:H,MATCH($B57,'ETAPA OBRA'!$B:$B,0))="x",'ETAPA OBRA'!H$1&amp;", ","")&amp;
IF(INDEX('ETAPA OBRA'!I:I,MATCH($B57,'ETAPA OBRA'!$B:$B,0))="x",'ETAPA OBRA'!I$1&amp;", ","")&amp;
IF(INDEX('ETAPA OBRA'!J:J,MATCH($B57,'ETAPA OBRA'!$B:$B,0))="x",'ETAPA OBRA'!J$1&amp;", ","")&amp;
IF(INDEX('ETAPA OBRA'!K:K,MATCH($B57,'ETAPA OBRA'!$B:$B,0))="x",'ETAPA OBRA'!K$1&amp;", ","")&amp;
IF(INDEX('ETAPA OBRA'!L:L,MATCH($B57,'ETAPA OBRA'!$B:$B,0))="x",'ETAPA OBRA'!L$1&amp;", ","")&amp;
IF(INDEX('ETAPA OBRA'!M:M,MATCH($B57,'ETAPA OBRA'!$B:$B,0))="x",'ETAPA OBRA'!M$1&amp;", ","")&amp;
IF(INDEX('ETAPA OBRA'!N:N,MATCH($B57,'ETAPA OBRA'!$B:$B,0))="x",'ETAPA OBRA'!N$1&amp;", ","")&amp;
IF(INDEX('ETAPA OBRA'!O:O,MATCH($B57,'ETAPA OBRA'!$B:$B,0))="x",'ETAPA OBRA'!O$1&amp;", ","")&amp;
IF(INDEX('ETAPA OBRA'!P:P,MATCH($B57,'ETAPA OBRA'!$B:$B,0))="x",'ETAPA OBRA'!P$1&amp;", ","")&amp;
IF(INDEX('ETAPA OBRA'!Q:Q,MATCH($B57,'ETAPA OBRA'!$B:$B,0))="x",'ETAPA OBRA'!Q$1&amp;", ","")&amp;
IF(INDEX('ETAPA OBRA'!R:R,MATCH($B57,'ETAPA OBRA'!$B:$B,0))="x",'ETAPA OBRA'!R$1&amp;", ","")&amp;
IF(INDEX('ETAPA OBRA'!S:S,MATCH($B57,'ETAPA OBRA'!$B:$B,0))="x",'ETAPA OBRA'!S$1&amp;", ","")&amp;
IF(INDEX('ETAPA OBRA'!T:T,MATCH($B57,'ETAPA OBRA'!$B:$B,0))="x",'ETAPA OBRA'!T$1&amp;", ","")&amp;
IF(INDEX('ETAPA OBRA'!U:U,MATCH($B57,'ETAPA OBRA'!$B:$B,0))="x",'ETAPA OBRA'!U$1&amp;", ",""),LEN(
IF(INDEX('ETAPA OBRA'!C:C,MATCH($B57,'ETAPA OBRA'!$B:$B,0))="x",'ETAPA OBRA'!C$1&amp;", ","")&amp;
IF(INDEX('ETAPA OBRA'!D:D,MATCH($B57,'ETAPA OBRA'!$B:$B,0))="x",'ETAPA OBRA'!D$1&amp;", ","")&amp;
IF(INDEX('ETAPA OBRA'!F:F,MATCH($B57,'ETAPA OBRA'!$B:$B,0))="x",'ETAPA OBRA'!F$1&amp;", ","")&amp;
IF(INDEX('ETAPA OBRA'!G:G,MATCH($B57,'ETAPA OBRA'!$B:$B,0))="x",'ETAPA OBRA'!G$1&amp;", ","")&amp;
IF(INDEX('ETAPA OBRA'!H:H,MATCH($B57,'ETAPA OBRA'!$B:$B,0))="x",'ETAPA OBRA'!H$1&amp;", ","")&amp;
IF(INDEX('ETAPA OBRA'!I:I,MATCH($B57,'ETAPA OBRA'!$B:$B,0))="x",'ETAPA OBRA'!I$1&amp;", ","")&amp;
IF(INDEX('ETAPA OBRA'!J:J,MATCH($B57,'ETAPA OBRA'!$B:$B,0))="x",'ETAPA OBRA'!J$1&amp;", ","")&amp;
IF(INDEX('ETAPA OBRA'!K:K,MATCH($B57,'ETAPA OBRA'!$B:$B,0))="x",'ETAPA OBRA'!K$1&amp;", ","")&amp;
IF(INDEX('ETAPA OBRA'!L:L,MATCH($B57,'ETAPA OBRA'!$B:$B,0))="x",'ETAPA OBRA'!L$1&amp;", ","")&amp;
IF(INDEX('ETAPA OBRA'!M:M,MATCH($B57,'ETAPA OBRA'!$B:$B,0))="x",'ETAPA OBRA'!M$1&amp;", ","")&amp;
IF(INDEX('ETAPA OBRA'!N:N,MATCH($B57,'ETAPA OBRA'!$B:$B,0))="x",'ETAPA OBRA'!N$1&amp;", ","")&amp;
IF(INDEX('ETAPA OBRA'!O:O,MATCH($B57,'ETAPA OBRA'!$B:$B,0))="x",'ETAPA OBRA'!O$1&amp;", ","")&amp;
IF(INDEX('ETAPA OBRA'!P:P,MATCH($B57,'ETAPA OBRA'!$B:$B,0))="x",'ETAPA OBRA'!P$1&amp;", ","")&amp;
IF(INDEX('ETAPA OBRA'!Q:Q,MATCH($B57,'ETAPA OBRA'!$B:$B,0))="x",'ETAPA OBRA'!Q$1&amp;", ","")&amp;
IF(INDEX('ETAPA OBRA'!R:R,MATCH($B57,'ETAPA OBRA'!$B:$B,0))="x",'ETAPA OBRA'!R$1&amp;", ","")&amp;
IF(INDEX('ETAPA OBRA'!S:S,MATCH($B57,'ETAPA OBRA'!$B:$B,0))="x",'ETAPA OBRA'!S$1&amp;", ","")&amp;
IF(INDEX('ETAPA OBRA'!T:T,MATCH($B57,'ETAPA OBRA'!$B:$B,0))="x",'ETAPA OBRA'!T$1&amp;", ","")&amp;
IF(INDEX('ETAPA OBRA'!U:U,MATCH($B57,'ETAPA OBRA'!$B:$B,0))="x",'ETAPA OBRA'!U$1&amp;", ","")
)-2),"")</f>
        <v>Finalizado</v>
      </c>
      <c r="N57" s="23" t="str">
        <f t="shared" si="5"/>
        <v>Finalizado</v>
      </c>
      <c r="O57" s="28">
        <v>17050</v>
      </c>
      <c r="P57" s="37">
        <f t="shared" si="1"/>
        <v>5545.59</v>
      </c>
      <c r="Q57" s="28">
        <f t="shared" si="6"/>
        <v>11504.41</v>
      </c>
      <c r="R57" s="29">
        <f t="shared" si="7"/>
        <v>0.67474545454545454</v>
      </c>
      <c r="S57" s="23" t="str">
        <f t="shared" si="8"/>
        <v>✅ OK - Fechar Parceiro</v>
      </c>
      <c r="T57" s="23" t="str">
        <f>Cronograma[[#This Row],[STATUS]]</f>
        <v>✅ CONCLUÍDO</v>
      </c>
    </row>
    <row r="58" spans="1:20" ht="14.4" x14ac:dyDescent="0.3">
      <c r="A58" s="23" t="s">
        <v>194</v>
      </c>
      <c r="B58" s="23" t="str">
        <f>IF(A58&lt;&gt;"","contel-"&amp;TEXT(COUNTA($A$2:A58),"00"),"")</f>
        <v>contel-57</v>
      </c>
      <c r="C58" s="23" t="s">
        <v>78</v>
      </c>
      <c r="D58" s="23" t="s">
        <v>195</v>
      </c>
      <c r="E58" s="23" t="s">
        <v>117</v>
      </c>
      <c r="F58" s="52" t="s">
        <v>196</v>
      </c>
      <c r="G58" s="23">
        <v>1804</v>
      </c>
      <c r="H58" s="24">
        <v>16616</v>
      </c>
      <c r="I58" s="23" t="s">
        <v>25</v>
      </c>
      <c r="J58" s="25">
        <f>SUM(EQUIPE!C58,EQUIPE!E58,EQUIPE!G58,EQUIPE!I58,EQUIPE!K58,EQUIPE!M58,EQUIPE!O58)</f>
        <v>6060</v>
      </c>
      <c r="K58" s="25">
        <v>2500</v>
      </c>
      <c r="L58" s="25">
        <v>285.58999999999997</v>
      </c>
      <c r="M58" s="27" t="str">
        <f ca="1">IFERROR(LEFT(
IF(INDEX('ETAPA OBRA'!C:C,MATCH($B58,'ETAPA OBRA'!$B:$B,0))="x",'ETAPA OBRA'!C$1&amp;", ","")&amp;
IF(INDEX('ETAPA OBRA'!D:D,MATCH($B58,'ETAPA OBRA'!$B:$B,0))="x",'ETAPA OBRA'!D$1&amp;", ","")&amp;
IF(INDEX('ETAPA OBRA'!F:F,MATCH($B58,'ETAPA OBRA'!$B:$B,0))="x",'ETAPA OBRA'!F$1&amp;", ","")&amp;
IF(INDEX('ETAPA OBRA'!G:G,MATCH($B58,'ETAPA OBRA'!$B:$B,0))="x",'ETAPA OBRA'!G$1&amp;", ","")&amp;
IF(INDEX('ETAPA OBRA'!H:H,MATCH($B58,'ETAPA OBRA'!$B:$B,0))="x",'ETAPA OBRA'!H$1&amp;", ","")&amp;
IF(INDEX('ETAPA OBRA'!I:I,MATCH($B58,'ETAPA OBRA'!$B:$B,0))="x",'ETAPA OBRA'!I$1&amp;", ","")&amp;
IF(INDEX('ETAPA OBRA'!J:J,MATCH($B58,'ETAPA OBRA'!$B:$B,0))="x",'ETAPA OBRA'!J$1&amp;", ","")&amp;
IF(INDEX('ETAPA OBRA'!K:K,MATCH($B58,'ETAPA OBRA'!$B:$B,0))="x",'ETAPA OBRA'!K$1&amp;", ","")&amp;
IF(INDEX('ETAPA OBRA'!L:L,MATCH($B58,'ETAPA OBRA'!$B:$B,0))="x",'ETAPA OBRA'!L$1&amp;", ","")&amp;
IF(INDEX('ETAPA OBRA'!M:M,MATCH($B58,'ETAPA OBRA'!$B:$B,0))="x",'ETAPA OBRA'!M$1&amp;", ","")&amp;
IF(INDEX('ETAPA OBRA'!N:N,MATCH($B58,'ETAPA OBRA'!$B:$B,0))="x",'ETAPA OBRA'!N$1&amp;", ","")&amp;
IF(INDEX('ETAPA OBRA'!O:O,MATCH($B58,'ETAPA OBRA'!$B:$B,0))="x",'ETAPA OBRA'!O$1&amp;", ","")&amp;
IF(INDEX('ETAPA OBRA'!P:P,MATCH($B58,'ETAPA OBRA'!$B:$B,0))="x",'ETAPA OBRA'!P$1&amp;", ","")&amp;
IF(INDEX('ETAPA OBRA'!Q:Q,MATCH($B58,'ETAPA OBRA'!$B:$B,0))="x",'ETAPA OBRA'!Q$1&amp;", ","")&amp;
IF(INDEX('ETAPA OBRA'!R:R,MATCH($B58,'ETAPA OBRA'!$B:$B,0))="x",'ETAPA OBRA'!R$1&amp;", ","")&amp;
IF(INDEX('ETAPA OBRA'!S:S,MATCH($B58,'ETAPA OBRA'!$B:$B,0))="x",'ETAPA OBRA'!S$1&amp;", ","")&amp;
IF(INDEX('ETAPA OBRA'!T:T,MATCH($B58,'ETAPA OBRA'!$B:$B,0))="x",'ETAPA OBRA'!T$1&amp;", ","")&amp;
IF(INDEX('ETAPA OBRA'!U:U,MATCH($B58,'ETAPA OBRA'!$B:$B,0))="x",'ETAPA OBRA'!U$1&amp;", ",""),LEN(
IF(INDEX('ETAPA OBRA'!C:C,MATCH($B58,'ETAPA OBRA'!$B:$B,0))="x",'ETAPA OBRA'!C$1&amp;", ","")&amp;
IF(INDEX('ETAPA OBRA'!D:D,MATCH($B58,'ETAPA OBRA'!$B:$B,0))="x",'ETAPA OBRA'!D$1&amp;", ","")&amp;
IF(INDEX('ETAPA OBRA'!F:F,MATCH($B58,'ETAPA OBRA'!$B:$B,0))="x",'ETAPA OBRA'!F$1&amp;", ","")&amp;
IF(INDEX('ETAPA OBRA'!G:G,MATCH($B58,'ETAPA OBRA'!$B:$B,0))="x",'ETAPA OBRA'!G$1&amp;", ","")&amp;
IF(INDEX('ETAPA OBRA'!H:H,MATCH($B58,'ETAPA OBRA'!$B:$B,0))="x",'ETAPA OBRA'!H$1&amp;", ","")&amp;
IF(INDEX('ETAPA OBRA'!I:I,MATCH($B58,'ETAPA OBRA'!$B:$B,0))="x",'ETAPA OBRA'!I$1&amp;", ","")&amp;
IF(INDEX('ETAPA OBRA'!J:J,MATCH($B58,'ETAPA OBRA'!$B:$B,0))="x",'ETAPA OBRA'!J$1&amp;", ","")&amp;
IF(INDEX('ETAPA OBRA'!K:K,MATCH($B58,'ETAPA OBRA'!$B:$B,0))="x",'ETAPA OBRA'!K$1&amp;", ","")&amp;
IF(INDEX('ETAPA OBRA'!L:L,MATCH($B58,'ETAPA OBRA'!$B:$B,0))="x",'ETAPA OBRA'!L$1&amp;", ","")&amp;
IF(INDEX('ETAPA OBRA'!M:M,MATCH($B58,'ETAPA OBRA'!$B:$B,0))="x",'ETAPA OBRA'!M$1&amp;", ","")&amp;
IF(INDEX('ETAPA OBRA'!N:N,MATCH($B58,'ETAPA OBRA'!$B:$B,0))="x",'ETAPA OBRA'!N$1&amp;", ","")&amp;
IF(INDEX('ETAPA OBRA'!O:O,MATCH($B58,'ETAPA OBRA'!$B:$B,0))="x",'ETAPA OBRA'!O$1&amp;", ","")&amp;
IF(INDEX('ETAPA OBRA'!P:P,MATCH($B58,'ETAPA OBRA'!$B:$B,0))="x",'ETAPA OBRA'!P$1&amp;", ","")&amp;
IF(INDEX('ETAPA OBRA'!Q:Q,MATCH($B58,'ETAPA OBRA'!$B:$B,0))="x",'ETAPA OBRA'!Q$1&amp;", ","")&amp;
IF(INDEX('ETAPA OBRA'!R:R,MATCH($B58,'ETAPA OBRA'!$B:$B,0))="x",'ETAPA OBRA'!R$1&amp;", ","")&amp;
IF(INDEX('ETAPA OBRA'!S:S,MATCH($B58,'ETAPA OBRA'!$B:$B,0))="x",'ETAPA OBRA'!S$1&amp;", ","")&amp;
IF(INDEX('ETAPA OBRA'!T:T,MATCH($B58,'ETAPA OBRA'!$B:$B,0))="x",'ETAPA OBRA'!T$1&amp;", ","")&amp;
IF(INDEX('ETAPA OBRA'!U:U,MATCH($B58,'ETAPA OBRA'!$B:$B,0))="x",'ETAPA OBRA'!U$1&amp;", ","")
)-2),"")</f>
        <v>Projeto</v>
      </c>
      <c r="N58" s="23" t="str">
        <f t="shared" ca="1" si="5"/>
        <v>Em andamento</v>
      </c>
      <c r="O58" s="28">
        <v>21010</v>
      </c>
      <c r="P58" s="37">
        <f t="shared" si="1"/>
        <v>8845.59</v>
      </c>
      <c r="Q58" s="28">
        <f t="shared" si="6"/>
        <v>12164.41</v>
      </c>
      <c r="R58" s="29">
        <f t="shared" si="7"/>
        <v>0.57898191337458349</v>
      </c>
      <c r="S58" s="23" t="str">
        <f t="shared" si="8"/>
        <v>✅ OK - Fechar Parceiro</v>
      </c>
      <c r="T58" s="23" t="str">
        <f ca="1">Cronograma[[#This Row],[STATUS]]</f>
        <v>⏰ ATRASADO</v>
      </c>
    </row>
    <row r="59" spans="1:20" ht="13.2" customHeight="1" x14ac:dyDescent="0.3">
      <c r="A59" s="23" t="s">
        <v>197</v>
      </c>
      <c r="B59" s="23" t="str">
        <f>IF(A59&lt;&gt;"","contel-"&amp;TEXT(COUNTA($A$2:A59),"00"),"")</f>
        <v>contel-58</v>
      </c>
      <c r="C59" s="23" t="s">
        <v>78</v>
      </c>
      <c r="D59" s="23" t="s">
        <v>198</v>
      </c>
      <c r="E59" s="23" t="s">
        <v>192</v>
      </c>
      <c r="F59" s="52" t="s">
        <v>199</v>
      </c>
      <c r="G59" s="23">
        <v>1802</v>
      </c>
      <c r="H59" s="24">
        <v>16617</v>
      </c>
      <c r="I59" s="23" t="s">
        <v>25</v>
      </c>
      <c r="J59" s="25">
        <f>SUM(EQUIPE!C59,EQUIPE!E59,EQUIPE!G59,EQUIPE!I59,EQUIPE!K59,EQUIPE!M59,EQUIPE!O59)</f>
        <v>5760</v>
      </c>
      <c r="K59" s="25">
        <v>4500</v>
      </c>
      <c r="L59" s="25">
        <v>285.58999999999997</v>
      </c>
      <c r="M59" s="27" t="str">
        <f>IFERROR(LEFT(
IF(INDEX('ETAPA OBRA'!C:C,MATCH($B59,'ETAPA OBRA'!$B:$B,0))="x",'ETAPA OBRA'!C$1&amp;", ","")&amp;
IF(INDEX('ETAPA OBRA'!D:D,MATCH($B59,'ETAPA OBRA'!$B:$B,0))="x",'ETAPA OBRA'!D$1&amp;", ","")&amp;
IF(INDEX('ETAPA OBRA'!F:F,MATCH($B59,'ETAPA OBRA'!$B:$B,0))="x",'ETAPA OBRA'!F$1&amp;", ","")&amp;
IF(INDEX('ETAPA OBRA'!G:G,MATCH($B59,'ETAPA OBRA'!$B:$B,0))="x",'ETAPA OBRA'!G$1&amp;", ","")&amp;
IF(INDEX('ETAPA OBRA'!H:H,MATCH($B59,'ETAPA OBRA'!$B:$B,0))="x",'ETAPA OBRA'!H$1&amp;", ","")&amp;
IF(INDEX('ETAPA OBRA'!I:I,MATCH($B59,'ETAPA OBRA'!$B:$B,0))="x",'ETAPA OBRA'!I$1&amp;", ","")&amp;
IF(INDEX('ETAPA OBRA'!J:J,MATCH($B59,'ETAPA OBRA'!$B:$B,0))="x",'ETAPA OBRA'!J$1&amp;", ","")&amp;
IF(INDEX('ETAPA OBRA'!K:K,MATCH($B59,'ETAPA OBRA'!$B:$B,0))="x",'ETAPA OBRA'!K$1&amp;", ","")&amp;
IF(INDEX('ETAPA OBRA'!L:L,MATCH($B59,'ETAPA OBRA'!$B:$B,0))="x",'ETAPA OBRA'!L$1&amp;", ","")&amp;
IF(INDEX('ETAPA OBRA'!M:M,MATCH($B59,'ETAPA OBRA'!$B:$B,0))="x",'ETAPA OBRA'!M$1&amp;", ","")&amp;
IF(INDEX('ETAPA OBRA'!N:N,MATCH($B59,'ETAPA OBRA'!$B:$B,0))="x",'ETAPA OBRA'!N$1&amp;", ","")&amp;
IF(INDEX('ETAPA OBRA'!O:O,MATCH($B59,'ETAPA OBRA'!$B:$B,0))="x",'ETAPA OBRA'!O$1&amp;", ","")&amp;
IF(INDEX('ETAPA OBRA'!P:P,MATCH($B59,'ETAPA OBRA'!$B:$B,0))="x",'ETAPA OBRA'!P$1&amp;", ","")&amp;
IF(INDEX('ETAPA OBRA'!Q:Q,MATCH($B59,'ETAPA OBRA'!$B:$B,0))="x",'ETAPA OBRA'!Q$1&amp;", ","")&amp;
IF(INDEX('ETAPA OBRA'!R:R,MATCH($B59,'ETAPA OBRA'!$B:$B,0))="x",'ETAPA OBRA'!R$1&amp;", ","")&amp;
IF(INDEX('ETAPA OBRA'!S:S,MATCH($B59,'ETAPA OBRA'!$B:$B,0))="x",'ETAPA OBRA'!S$1&amp;", ","")&amp;
IF(INDEX('ETAPA OBRA'!T:T,MATCH($B59,'ETAPA OBRA'!$B:$B,0))="x",'ETAPA OBRA'!T$1&amp;", ","")&amp;
IF(INDEX('ETAPA OBRA'!U:U,MATCH($B59,'ETAPA OBRA'!$B:$B,0))="x",'ETAPA OBRA'!U$1&amp;", ",""),LEN(
IF(INDEX('ETAPA OBRA'!C:C,MATCH($B59,'ETAPA OBRA'!$B:$B,0))="x",'ETAPA OBRA'!C$1&amp;", ","")&amp;
IF(INDEX('ETAPA OBRA'!D:D,MATCH($B59,'ETAPA OBRA'!$B:$B,0))="x",'ETAPA OBRA'!D$1&amp;", ","")&amp;
IF(INDEX('ETAPA OBRA'!F:F,MATCH($B59,'ETAPA OBRA'!$B:$B,0))="x",'ETAPA OBRA'!F$1&amp;", ","")&amp;
IF(INDEX('ETAPA OBRA'!G:G,MATCH($B59,'ETAPA OBRA'!$B:$B,0))="x",'ETAPA OBRA'!G$1&amp;", ","")&amp;
IF(INDEX('ETAPA OBRA'!H:H,MATCH($B59,'ETAPA OBRA'!$B:$B,0))="x",'ETAPA OBRA'!H$1&amp;", ","")&amp;
IF(INDEX('ETAPA OBRA'!I:I,MATCH($B59,'ETAPA OBRA'!$B:$B,0))="x",'ETAPA OBRA'!I$1&amp;", ","")&amp;
IF(INDEX('ETAPA OBRA'!J:J,MATCH($B59,'ETAPA OBRA'!$B:$B,0))="x",'ETAPA OBRA'!J$1&amp;", ","")&amp;
IF(INDEX('ETAPA OBRA'!K:K,MATCH($B59,'ETAPA OBRA'!$B:$B,0))="x",'ETAPA OBRA'!K$1&amp;", ","")&amp;
IF(INDEX('ETAPA OBRA'!L:L,MATCH($B59,'ETAPA OBRA'!$B:$B,0))="x",'ETAPA OBRA'!L$1&amp;", ","")&amp;
IF(INDEX('ETAPA OBRA'!M:M,MATCH($B59,'ETAPA OBRA'!$B:$B,0))="x",'ETAPA OBRA'!M$1&amp;", ","")&amp;
IF(INDEX('ETAPA OBRA'!N:N,MATCH($B59,'ETAPA OBRA'!$B:$B,0))="x",'ETAPA OBRA'!N$1&amp;", ","")&amp;
IF(INDEX('ETAPA OBRA'!O:O,MATCH($B59,'ETAPA OBRA'!$B:$B,0))="x",'ETAPA OBRA'!O$1&amp;", ","")&amp;
IF(INDEX('ETAPA OBRA'!P:P,MATCH($B59,'ETAPA OBRA'!$B:$B,0))="x",'ETAPA OBRA'!P$1&amp;", ","")&amp;
IF(INDEX('ETAPA OBRA'!Q:Q,MATCH($B59,'ETAPA OBRA'!$B:$B,0))="x",'ETAPA OBRA'!Q$1&amp;", ","")&amp;
IF(INDEX('ETAPA OBRA'!R:R,MATCH($B59,'ETAPA OBRA'!$B:$B,0))="x",'ETAPA OBRA'!R$1&amp;", ","")&amp;
IF(INDEX('ETAPA OBRA'!S:S,MATCH($B59,'ETAPA OBRA'!$B:$B,0))="x",'ETAPA OBRA'!S$1&amp;", ","")&amp;
IF(INDEX('ETAPA OBRA'!T:T,MATCH($B59,'ETAPA OBRA'!$B:$B,0))="x",'ETAPA OBRA'!T$1&amp;", ","")&amp;
IF(INDEX('ETAPA OBRA'!U:U,MATCH($B59,'ETAPA OBRA'!$B:$B,0))="x",'ETAPA OBRA'!U$1&amp;", ","")
)-2),"")</f>
        <v>Finalizado</v>
      </c>
      <c r="N59" s="23" t="str">
        <f t="shared" si="5"/>
        <v>Finalizado</v>
      </c>
      <c r="O59" s="28">
        <v>21010</v>
      </c>
      <c r="P59" s="37">
        <f t="shared" si="1"/>
        <v>10545.59</v>
      </c>
      <c r="Q59" s="28">
        <f t="shared" si="6"/>
        <v>10464.41</v>
      </c>
      <c r="R59" s="29">
        <f t="shared" si="7"/>
        <v>0.4980680628272251</v>
      </c>
      <c r="S59" s="23" t="str">
        <f t="shared" si="8"/>
        <v>✅ OK - Fechar Parceiro</v>
      </c>
      <c r="T59" s="23" t="str">
        <f>Cronograma[[#This Row],[STATUS]]</f>
        <v>✅ CONCLUÍDO</v>
      </c>
    </row>
    <row r="60" spans="1:20" ht="14.4" x14ac:dyDescent="0.3">
      <c r="A60" s="23" t="s">
        <v>200</v>
      </c>
      <c r="B60" s="23" t="str">
        <f>IF(A60&lt;&gt;"","contel-"&amp;TEXT(COUNTA($A$2:A60),"00"),"")</f>
        <v>contel-59</v>
      </c>
      <c r="C60" s="23" t="s">
        <v>150</v>
      </c>
      <c r="D60" s="23" t="s">
        <v>121</v>
      </c>
      <c r="E60" s="23" t="s">
        <v>75</v>
      </c>
      <c r="F60" s="52" t="s">
        <v>201</v>
      </c>
      <c r="G60" s="23">
        <v>1801</v>
      </c>
      <c r="H60" s="24">
        <v>16620</v>
      </c>
      <c r="I60" s="23" t="s">
        <v>63</v>
      </c>
      <c r="J60" s="25">
        <f>SUM(EQUIPE!C60,EQUIPE!E60,EQUIPE!G60,EQUIPE!I60,EQUIPE!K60,EQUIPE!M60,EQUIPE!O60)</f>
        <v>24500</v>
      </c>
      <c r="K60" s="25">
        <v>0</v>
      </c>
      <c r="L60" s="25">
        <v>285.58999999999997</v>
      </c>
      <c r="M60" s="27" t="str">
        <f>IFERROR(LEFT(
IF(INDEX('ETAPA OBRA'!C:C,MATCH($B60,'ETAPA OBRA'!$B:$B,0))="x",'ETAPA OBRA'!C$1&amp;", ","")&amp;
IF(INDEX('ETAPA OBRA'!D:D,MATCH($B60,'ETAPA OBRA'!$B:$B,0))="x",'ETAPA OBRA'!D$1&amp;", ","")&amp;
IF(INDEX('ETAPA OBRA'!F:F,MATCH($B60,'ETAPA OBRA'!$B:$B,0))="x",'ETAPA OBRA'!F$1&amp;", ","")&amp;
IF(INDEX('ETAPA OBRA'!G:G,MATCH($B60,'ETAPA OBRA'!$B:$B,0))="x",'ETAPA OBRA'!G$1&amp;", ","")&amp;
IF(INDEX('ETAPA OBRA'!H:H,MATCH($B60,'ETAPA OBRA'!$B:$B,0))="x",'ETAPA OBRA'!H$1&amp;", ","")&amp;
IF(INDEX('ETAPA OBRA'!I:I,MATCH($B60,'ETAPA OBRA'!$B:$B,0))="x",'ETAPA OBRA'!I$1&amp;", ","")&amp;
IF(INDEX('ETAPA OBRA'!J:J,MATCH($B60,'ETAPA OBRA'!$B:$B,0))="x",'ETAPA OBRA'!J$1&amp;", ","")&amp;
IF(INDEX('ETAPA OBRA'!K:K,MATCH($B60,'ETAPA OBRA'!$B:$B,0))="x",'ETAPA OBRA'!K$1&amp;", ","")&amp;
IF(INDEX('ETAPA OBRA'!L:L,MATCH($B60,'ETAPA OBRA'!$B:$B,0))="x",'ETAPA OBRA'!L$1&amp;", ","")&amp;
IF(INDEX('ETAPA OBRA'!M:M,MATCH($B60,'ETAPA OBRA'!$B:$B,0))="x",'ETAPA OBRA'!M$1&amp;", ","")&amp;
IF(INDEX('ETAPA OBRA'!N:N,MATCH($B60,'ETAPA OBRA'!$B:$B,0))="x",'ETAPA OBRA'!N$1&amp;", ","")&amp;
IF(INDEX('ETAPA OBRA'!O:O,MATCH($B60,'ETAPA OBRA'!$B:$B,0))="x",'ETAPA OBRA'!O$1&amp;", ","")&amp;
IF(INDEX('ETAPA OBRA'!P:P,MATCH($B60,'ETAPA OBRA'!$B:$B,0))="x",'ETAPA OBRA'!P$1&amp;", ","")&amp;
IF(INDEX('ETAPA OBRA'!Q:Q,MATCH($B60,'ETAPA OBRA'!$B:$B,0))="x",'ETAPA OBRA'!Q$1&amp;", ","")&amp;
IF(INDEX('ETAPA OBRA'!R:R,MATCH($B60,'ETAPA OBRA'!$B:$B,0))="x",'ETAPA OBRA'!R$1&amp;", ","")&amp;
IF(INDEX('ETAPA OBRA'!S:S,MATCH($B60,'ETAPA OBRA'!$B:$B,0))="x",'ETAPA OBRA'!S$1&amp;", ","")&amp;
IF(INDEX('ETAPA OBRA'!T:T,MATCH($B60,'ETAPA OBRA'!$B:$B,0))="x",'ETAPA OBRA'!T$1&amp;", ","")&amp;
IF(INDEX('ETAPA OBRA'!U:U,MATCH($B60,'ETAPA OBRA'!$B:$B,0))="x",'ETAPA OBRA'!U$1&amp;", ",""),LEN(
IF(INDEX('ETAPA OBRA'!C:C,MATCH($B60,'ETAPA OBRA'!$B:$B,0))="x",'ETAPA OBRA'!C$1&amp;", ","")&amp;
IF(INDEX('ETAPA OBRA'!D:D,MATCH($B60,'ETAPA OBRA'!$B:$B,0))="x",'ETAPA OBRA'!D$1&amp;", ","")&amp;
IF(INDEX('ETAPA OBRA'!F:F,MATCH($B60,'ETAPA OBRA'!$B:$B,0))="x",'ETAPA OBRA'!F$1&amp;", ","")&amp;
IF(INDEX('ETAPA OBRA'!G:G,MATCH($B60,'ETAPA OBRA'!$B:$B,0))="x",'ETAPA OBRA'!G$1&amp;", ","")&amp;
IF(INDEX('ETAPA OBRA'!H:H,MATCH($B60,'ETAPA OBRA'!$B:$B,0))="x",'ETAPA OBRA'!H$1&amp;", ","")&amp;
IF(INDEX('ETAPA OBRA'!I:I,MATCH($B60,'ETAPA OBRA'!$B:$B,0))="x",'ETAPA OBRA'!I$1&amp;", ","")&amp;
IF(INDEX('ETAPA OBRA'!J:J,MATCH($B60,'ETAPA OBRA'!$B:$B,0))="x",'ETAPA OBRA'!J$1&amp;", ","")&amp;
IF(INDEX('ETAPA OBRA'!K:K,MATCH($B60,'ETAPA OBRA'!$B:$B,0))="x",'ETAPA OBRA'!K$1&amp;", ","")&amp;
IF(INDEX('ETAPA OBRA'!L:L,MATCH($B60,'ETAPA OBRA'!$B:$B,0))="x",'ETAPA OBRA'!L$1&amp;", ","")&amp;
IF(INDEX('ETAPA OBRA'!M:M,MATCH($B60,'ETAPA OBRA'!$B:$B,0))="x",'ETAPA OBRA'!M$1&amp;", ","")&amp;
IF(INDEX('ETAPA OBRA'!N:N,MATCH($B60,'ETAPA OBRA'!$B:$B,0))="x",'ETAPA OBRA'!N$1&amp;", ","")&amp;
IF(INDEX('ETAPA OBRA'!O:O,MATCH($B60,'ETAPA OBRA'!$B:$B,0))="x",'ETAPA OBRA'!O$1&amp;", ","")&amp;
IF(INDEX('ETAPA OBRA'!P:P,MATCH($B60,'ETAPA OBRA'!$B:$B,0))="x",'ETAPA OBRA'!P$1&amp;", ","")&amp;
IF(INDEX('ETAPA OBRA'!Q:Q,MATCH($B60,'ETAPA OBRA'!$B:$B,0))="x",'ETAPA OBRA'!Q$1&amp;", ","")&amp;
IF(INDEX('ETAPA OBRA'!R:R,MATCH($B60,'ETAPA OBRA'!$B:$B,0))="x",'ETAPA OBRA'!R$1&amp;", ","")&amp;
IF(INDEX('ETAPA OBRA'!S:S,MATCH($B60,'ETAPA OBRA'!$B:$B,0))="x",'ETAPA OBRA'!S$1&amp;", ","")&amp;
IF(INDEX('ETAPA OBRA'!T:T,MATCH($B60,'ETAPA OBRA'!$B:$B,0))="x",'ETAPA OBRA'!T$1&amp;", ","")&amp;
IF(INDEX('ETAPA OBRA'!U:U,MATCH($B60,'ETAPA OBRA'!$B:$B,0))="x",'ETAPA OBRA'!U$1&amp;", ","")
)-2),"")</f>
        <v>Finalizado</v>
      </c>
      <c r="N60" s="23" t="str">
        <f t="shared" si="5"/>
        <v>Finalizado</v>
      </c>
      <c r="O60" s="28">
        <v>62994.5</v>
      </c>
      <c r="P60" s="37">
        <f t="shared" si="1"/>
        <v>24785.59</v>
      </c>
      <c r="Q60" s="28">
        <f t="shared" si="6"/>
        <v>38208.910000000003</v>
      </c>
      <c r="R60" s="29">
        <f t="shared" si="7"/>
        <v>0.60654358713855983</v>
      </c>
      <c r="S60" s="23" t="str">
        <f t="shared" si="8"/>
        <v>✅ OK - Fechar Parceiro</v>
      </c>
      <c r="T60" s="23" t="str">
        <f>Cronograma[[#This Row],[STATUS]]</f>
        <v>✅ CONCLUÍDO</v>
      </c>
    </row>
    <row r="61" spans="1:20" ht="14.4" x14ac:dyDescent="0.3">
      <c r="A61" s="23">
        <v>65010027</v>
      </c>
      <c r="B61" s="23" t="str">
        <f>IF(A61&lt;&gt;"","contel-"&amp;TEXT(COUNTA($A$2:A61),"00"),"")</f>
        <v>contel-60</v>
      </c>
      <c r="C61" s="23" t="s">
        <v>35</v>
      </c>
      <c r="D61" s="23" t="s">
        <v>202</v>
      </c>
      <c r="E61" s="23" t="s">
        <v>125</v>
      </c>
      <c r="F61" s="52" t="s">
        <v>203</v>
      </c>
      <c r="G61" s="23">
        <v>1714</v>
      </c>
      <c r="H61" s="24">
        <v>16625</v>
      </c>
      <c r="I61" s="23" t="s">
        <v>63</v>
      </c>
      <c r="J61" s="25">
        <f>SUM(EQUIPE!C61,EQUIPE!E61,EQUIPE!G61,EQUIPE!I61,EQUIPE!K61,EQUIPE!M61,EQUIPE!O61)</f>
        <v>3000</v>
      </c>
      <c r="K61" s="25">
        <v>1190.5</v>
      </c>
      <c r="L61" s="25">
        <v>2721.47</v>
      </c>
      <c r="M61" s="27" t="str">
        <f>IFERROR(LEFT(
IF(INDEX('ETAPA OBRA'!C:C,MATCH($B61,'ETAPA OBRA'!$B:$B,0))="x",'ETAPA OBRA'!C$1&amp;", ","")&amp;
IF(INDEX('ETAPA OBRA'!D:D,MATCH($B61,'ETAPA OBRA'!$B:$B,0))="x",'ETAPA OBRA'!D$1&amp;", ","")&amp;
IF(INDEX('ETAPA OBRA'!F:F,MATCH($B61,'ETAPA OBRA'!$B:$B,0))="x",'ETAPA OBRA'!F$1&amp;", ","")&amp;
IF(INDEX('ETAPA OBRA'!G:G,MATCH($B61,'ETAPA OBRA'!$B:$B,0))="x",'ETAPA OBRA'!G$1&amp;", ","")&amp;
IF(INDEX('ETAPA OBRA'!H:H,MATCH($B61,'ETAPA OBRA'!$B:$B,0))="x",'ETAPA OBRA'!H$1&amp;", ","")&amp;
IF(INDEX('ETAPA OBRA'!I:I,MATCH($B61,'ETAPA OBRA'!$B:$B,0))="x",'ETAPA OBRA'!I$1&amp;", ","")&amp;
IF(INDEX('ETAPA OBRA'!J:J,MATCH($B61,'ETAPA OBRA'!$B:$B,0))="x",'ETAPA OBRA'!J$1&amp;", ","")&amp;
IF(INDEX('ETAPA OBRA'!K:K,MATCH($B61,'ETAPA OBRA'!$B:$B,0))="x",'ETAPA OBRA'!K$1&amp;", ","")&amp;
IF(INDEX('ETAPA OBRA'!L:L,MATCH($B61,'ETAPA OBRA'!$B:$B,0))="x",'ETAPA OBRA'!L$1&amp;", ","")&amp;
IF(INDEX('ETAPA OBRA'!M:M,MATCH($B61,'ETAPA OBRA'!$B:$B,0))="x",'ETAPA OBRA'!M$1&amp;", ","")&amp;
IF(INDEX('ETAPA OBRA'!N:N,MATCH($B61,'ETAPA OBRA'!$B:$B,0))="x",'ETAPA OBRA'!N$1&amp;", ","")&amp;
IF(INDEX('ETAPA OBRA'!O:O,MATCH($B61,'ETAPA OBRA'!$B:$B,0))="x",'ETAPA OBRA'!O$1&amp;", ","")&amp;
IF(INDEX('ETAPA OBRA'!P:P,MATCH($B61,'ETAPA OBRA'!$B:$B,0))="x",'ETAPA OBRA'!P$1&amp;", ","")&amp;
IF(INDEX('ETAPA OBRA'!Q:Q,MATCH($B61,'ETAPA OBRA'!$B:$B,0))="x",'ETAPA OBRA'!Q$1&amp;", ","")&amp;
IF(INDEX('ETAPA OBRA'!R:R,MATCH($B61,'ETAPA OBRA'!$B:$B,0))="x",'ETAPA OBRA'!R$1&amp;", ","")&amp;
IF(INDEX('ETAPA OBRA'!S:S,MATCH($B61,'ETAPA OBRA'!$B:$B,0))="x",'ETAPA OBRA'!S$1&amp;", ","")&amp;
IF(INDEX('ETAPA OBRA'!T:T,MATCH($B61,'ETAPA OBRA'!$B:$B,0))="x",'ETAPA OBRA'!T$1&amp;", ","")&amp;
IF(INDEX('ETAPA OBRA'!U:U,MATCH($B61,'ETAPA OBRA'!$B:$B,0))="x",'ETAPA OBRA'!U$1&amp;", ",""),LEN(
IF(INDEX('ETAPA OBRA'!C:C,MATCH($B61,'ETAPA OBRA'!$B:$B,0))="x",'ETAPA OBRA'!C$1&amp;", ","")&amp;
IF(INDEX('ETAPA OBRA'!D:D,MATCH($B61,'ETAPA OBRA'!$B:$B,0))="x",'ETAPA OBRA'!D$1&amp;", ","")&amp;
IF(INDEX('ETAPA OBRA'!F:F,MATCH($B61,'ETAPA OBRA'!$B:$B,0))="x",'ETAPA OBRA'!F$1&amp;", ","")&amp;
IF(INDEX('ETAPA OBRA'!G:G,MATCH($B61,'ETAPA OBRA'!$B:$B,0))="x",'ETAPA OBRA'!G$1&amp;", ","")&amp;
IF(INDEX('ETAPA OBRA'!H:H,MATCH($B61,'ETAPA OBRA'!$B:$B,0))="x",'ETAPA OBRA'!H$1&amp;", ","")&amp;
IF(INDEX('ETAPA OBRA'!I:I,MATCH($B61,'ETAPA OBRA'!$B:$B,0))="x",'ETAPA OBRA'!I$1&amp;", ","")&amp;
IF(INDEX('ETAPA OBRA'!J:J,MATCH($B61,'ETAPA OBRA'!$B:$B,0))="x",'ETAPA OBRA'!J$1&amp;", ","")&amp;
IF(INDEX('ETAPA OBRA'!K:K,MATCH($B61,'ETAPA OBRA'!$B:$B,0))="x",'ETAPA OBRA'!K$1&amp;", ","")&amp;
IF(INDEX('ETAPA OBRA'!L:L,MATCH($B61,'ETAPA OBRA'!$B:$B,0))="x",'ETAPA OBRA'!L$1&amp;", ","")&amp;
IF(INDEX('ETAPA OBRA'!M:M,MATCH($B61,'ETAPA OBRA'!$B:$B,0))="x",'ETAPA OBRA'!M$1&amp;", ","")&amp;
IF(INDEX('ETAPA OBRA'!N:N,MATCH($B61,'ETAPA OBRA'!$B:$B,0))="x",'ETAPA OBRA'!N$1&amp;", ","")&amp;
IF(INDEX('ETAPA OBRA'!O:O,MATCH($B61,'ETAPA OBRA'!$B:$B,0))="x",'ETAPA OBRA'!O$1&amp;", ","")&amp;
IF(INDEX('ETAPA OBRA'!P:P,MATCH($B61,'ETAPA OBRA'!$B:$B,0))="x",'ETAPA OBRA'!P$1&amp;", ","")&amp;
IF(INDEX('ETAPA OBRA'!Q:Q,MATCH($B61,'ETAPA OBRA'!$B:$B,0))="x",'ETAPA OBRA'!Q$1&amp;", ","")&amp;
IF(INDEX('ETAPA OBRA'!R:R,MATCH($B61,'ETAPA OBRA'!$B:$B,0))="x",'ETAPA OBRA'!R$1&amp;", ","")&amp;
IF(INDEX('ETAPA OBRA'!S:S,MATCH($B61,'ETAPA OBRA'!$B:$B,0))="x",'ETAPA OBRA'!S$1&amp;", ","")&amp;
IF(INDEX('ETAPA OBRA'!T:T,MATCH($B61,'ETAPA OBRA'!$B:$B,0))="x",'ETAPA OBRA'!T$1&amp;", ","")&amp;
IF(INDEX('ETAPA OBRA'!U:U,MATCH($B61,'ETAPA OBRA'!$B:$B,0))="x",'ETAPA OBRA'!U$1&amp;", ","")
)-2),"")</f>
        <v>Finalizado</v>
      </c>
      <c r="N61" s="23" t="str">
        <f t="shared" si="5"/>
        <v>Finalizado</v>
      </c>
      <c r="O61" s="28">
        <v>28395.24</v>
      </c>
      <c r="P61" s="37">
        <f t="shared" si="1"/>
        <v>6911.9699999999993</v>
      </c>
      <c r="Q61" s="28">
        <f t="shared" si="6"/>
        <v>21483.270000000004</v>
      </c>
      <c r="R61" s="29">
        <f t="shared" si="7"/>
        <v>0.7565799760804981</v>
      </c>
      <c r="S61" s="23" t="str">
        <f t="shared" si="8"/>
        <v>✅ OK - Fechar Parceiro</v>
      </c>
      <c r="T61" s="23" t="str">
        <f>Cronograma[[#This Row],[STATUS]]</f>
        <v>✅ CONCLUÍDO</v>
      </c>
    </row>
    <row r="62" spans="1:20" ht="14.4" x14ac:dyDescent="0.3">
      <c r="A62" s="23" t="s">
        <v>204</v>
      </c>
      <c r="B62" s="23" t="str">
        <f>IF(A62&lt;&gt;"","contel-"&amp;TEXT(COUNTA($A$2:A62),"00"),"")</f>
        <v>contel-61</v>
      </c>
      <c r="C62" s="23" t="s">
        <v>21</v>
      </c>
      <c r="D62" s="23" t="s">
        <v>147</v>
      </c>
      <c r="E62" s="23" t="s">
        <v>132</v>
      </c>
      <c r="F62" s="52" t="s">
        <v>205</v>
      </c>
      <c r="G62" s="23">
        <v>1805</v>
      </c>
      <c r="H62" s="30">
        <v>16632</v>
      </c>
      <c r="I62" s="23" t="s">
        <v>63</v>
      </c>
      <c r="J62" s="25">
        <f>SUM(EQUIPE!C62,EQUIPE!E62,EQUIPE!G62,EQUIPE!I62,EQUIPE!K62,EQUIPE!M62,EQUIPE!O62)</f>
        <v>12000</v>
      </c>
      <c r="K62" s="25">
        <v>4163</v>
      </c>
      <c r="L62" s="25">
        <v>0</v>
      </c>
      <c r="M62" s="27" t="str">
        <f ca="1">IFERROR(LEFT(
IF(INDEX('ETAPA OBRA'!C:C,MATCH($B62,'ETAPA OBRA'!$B:$B,0))="x",'ETAPA OBRA'!C$1&amp;", ","")&amp;
IF(INDEX('ETAPA OBRA'!D:D,MATCH($B62,'ETAPA OBRA'!$B:$B,0))="x",'ETAPA OBRA'!D$1&amp;", ","")&amp;
IF(INDEX('ETAPA OBRA'!F:F,MATCH($B62,'ETAPA OBRA'!$B:$B,0))="x",'ETAPA OBRA'!F$1&amp;", ","")&amp;
IF(INDEX('ETAPA OBRA'!G:G,MATCH($B62,'ETAPA OBRA'!$B:$B,0))="x",'ETAPA OBRA'!G$1&amp;", ","")&amp;
IF(INDEX('ETAPA OBRA'!H:H,MATCH($B62,'ETAPA OBRA'!$B:$B,0))="x",'ETAPA OBRA'!H$1&amp;", ","")&amp;
IF(INDEX('ETAPA OBRA'!I:I,MATCH($B62,'ETAPA OBRA'!$B:$B,0))="x",'ETAPA OBRA'!I$1&amp;", ","")&amp;
IF(INDEX('ETAPA OBRA'!J:J,MATCH($B62,'ETAPA OBRA'!$B:$B,0))="x",'ETAPA OBRA'!J$1&amp;", ","")&amp;
IF(INDEX('ETAPA OBRA'!K:K,MATCH($B62,'ETAPA OBRA'!$B:$B,0))="x",'ETAPA OBRA'!K$1&amp;", ","")&amp;
IF(INDEX('ETAPA OBRA'!L:L,MATCH($B62,'ETAPA OBRA'!$B:$B,0))="x",'ETAPA OBRA'!L$1&amp;", ","")&amp;
IF(INDEX('ETAPA OBRA'!M:M,MATCH($B62,'ETAPA OBRA'!$B:$B,0))="x",'ETAPA OBRA'!M$1&amp;", ","")&amp;
IF(INDEX('ETAPA OBRA'!N:N,MATCH($B62,'ETAPA OBRA'!$B:$B,0))="x",'ETAPA OBRA'!N$1&amp;", ","")&amp;
IF(INDEX('ETAPA OBRA'!O:O,MATCH($B62,'ETAPA OBRA'!$B:$B,0))="x",'ETAPA OBRA'!O$1&amp;", ","")&amp;
IF(INDEX('ETAPA OBRA'!P:P,MATCH($B62,'ETAPA OBRA'!$B:$B,0))="x",'ETAPA OBRA'!P$1&amp;", ","")&amp;
IF(INDEX('ETAPA OBRA'!Q:Q,MATCH($B62,'ETAPA OBRA'!$B:$B,0))="x",'ETAPA OBRA'!Q$1&amp;", ","")&amp;
IF(INDEX('ETAPA OBRA'!R:R,MATCH($B62,'ETAPA OBRA'!$B:$B,0))="x",'ETAPA OBRA'!R$1&amp;", ","")&amp;
IF(INDEX('ETAPA OBRA'!S:S,MATCH($B62,'ETAPA OBRA'!$B:$B,0))="x",'ETAPA OBRA'!S$1&amp;", ","")&amp;
IF(INDEX('ETAPA OBRA'!T:T,MATCH($B62,'ETAPA OBRA'!$B:$B,0))="x",'ETAPA OBRA'!T$1&amp;", ","")&amp;
IF(INDEX('ETAPA OBRA'!U:U,MATCH($B62,'ETAPA OBRA'!$B:$B,0))="x",'ETAPA OBRA'!U$1&amp;", ",""),LEN(
IF(INDEX('ETAPA OBRA'!C:C,MATCH($B62,'ETAPA OBRA'!$B:$B,0))="x",'ETAPA OBRA'!C$1&amp;", ","")&amp;
IF(INDEX('ETAPA OBRA'!D:D,MATCH($B62,'ETAPA OBRA'!$B:$B,0))="x",'ETAPA OBRA'!D$1&amp;", ","")&amp;
IF(INDEX('ETAPA OBRA'!F:F,MATCH($B62,'ETAPA OBRA'!$B:$B,0))="x",'ETAPA OBRA'!F$1&amp;", ","")&amp;
IF(INDEX('ETAPA OBRA'!G:G,MATCH($B62,'ETAPA OBRA'!$B:$B,0))="x",'ETAPA OBRA'!G$1&amp;", ","")&amp;
IF(INDEX('ETAPA OBRA'!H:H,MATCH($B62,'ETAPA OBRA'!$B:$B,0))="x",'ETAPA OBRA'!H$1&amp;", ","")&amp;
IF(INDEX('ETAPA OBRA'!I:I,MATCH($B62,'ETAPA OBRA'!$B:$B,0))="x",'ETAPA OBRA'!I$1&amp;", ","")&amp;
IF(INDEX('ETAPA OBRA'!J:J,MATCH($B62,'ETAPA OBRA'!$B:$B,0))="x",'ETAPA OBRA'!J$1&amp;", ","")&amp;
IF(INDEX('ETAPA OBRA'!K:K,MATCH($B62,'ETAPA OBRA'!$B:$B,0))="x",'ETAPA OBRA'!K$1&amp;", ","")&amp;
IF(INDEX('ETAPA OBRA'!L:L,MATCH($B62,'ETAPA OBRA'!$B:$B,0))="x",'ETAPA OBRA'!L$1&amp;", ","")&amp;
IF(INDEX('ETAPA OBRA'!M:M,MATCH($B62,'ETAPA OBRA'!$B:$B,0))="x",'ETAPA OBRA'!M$1&amp;", ","")&amp;
IF(INDEX('ETAPA OBRA'!N:N,MATCH($B62,'ETAPA OBRA'!$B:$B,0))="x",'ETAPA OBRA'!N$1&amp;", ","")&amp;
IF(INDEX('ETAPA OBRA'!O:O,MATCH($B62,'ETAPA OBRA'!$B:$B,0))="x",'ETAPA OBRA'!O$1&amp;", ","")&amp;
IF(INDEX('ETAPA OBRA'!P:P,MATCH($B62,'ETAPA OBRA'!$B:$B,0))="x",'ETAPA OBRA'!P$1&amp;", ","")&amp;
IF(INDEX('ETAPA OBRA'!Q:Q,MATCH($B62,'ETAPA OBRA'!$B:$B,0))="x",'ETAPA OBRA'!Q$1&amp;", ","")&amp;
IF(INDEX('ETAPA OBRA'!R:R,MATCH($B62,'ETAPA OBRA'!$B:$B,0))="x",'ETAPA OBRA'!R$1&amp;", ","")&amp;
IF(INDEX('ETAPA OBRA'!S:S,MATCH($B62,'ETAPA OBRA'!$B:$B,0))="x",'ETAPA OBRA'!S$1&amp;", ","")&amp;
IF(INDEX('ETAPA OBRA'!T:T,MATCH($B62,'ETAPA OBRA'!$B:$B,0))="x",'ETAPA OBRA'!T$1&amp;", ","")&amp;
IF(INDEX('ETAPA OBRA'!U:U,MATCH($B62,'ETAPA OBRA'!$B:$B,0))="x",'ETAPA OBRA'!U$1&amp;", ","")
)-2),"")</f>
        <v>Execução</v>
      </c>
      <c r="N62" s="23" t="str">
        <f t="shared" ca="1" si="5"/>
        <v>Em andamento</v>
      </c>
      <c r="O62" s="28">
        <v>43936.3</v>
      </c>
      <c r="P62" s="37">
        <f t="shared" si="1"/>
        <v>16163</v>
      </c>
      <c r="Q62" s="28">
        <f t="shared" si="6"/>
        <v>27773.300000000003</v>
      </c>
      <c r="R62" s="29">
        <f t="shared" si="7"/>
        <v>0.63212651042532031</v>
      </c>
      <c r="S62" s="23" t="str">
        <f t="shared" si="8"/>
        <v>✅ OK - Fechar Parceiro</v>
      </c>
      <c r="T62" s="23" t="str">
        <f ca="1">Cronograma[[#This Row],[STATUS]]</f>
        <v>⏰ ATRASADO</v>
      </c>
    </row>
    <row r="63" spans="1:20" ht="14.4" x14ac:dyDescent="0.3">
      <c r="A63" s="23" t="s">
        <v>206</v>
      </c>
      <c r="B63" s="23" t="str">
        <f>IF(A63&lt;&gt;"","contel-"&amp;TEXT(COUNTA($A$2:A63),"00"),"")</f>
        <v>contel-62</v>
      </c>
      <c r="C63" s="23" t="s">
        <v>21</v>
      </c>
      <c r="D63" s="23" t="s">
        <v>207</v>
      </c>
      <c r="E63" s="23" t="s">
        <v>28</v>
      </c>
      <c r="F63" s="52" t="s">
        <v>208</v>
      </c>
      <c r="G63" s="23">
        <v>1806</v>
      </c>
      <c r="H63" s="24">
        <v>16638</v>
      </c>
      <c r="I63" s="23" t="s">
        <v>63</v>
      </c>
      <c r="J63" s="25">
        <f>SUM(EQUIPE!C63,EQUIPE!E63,EQUIPE!G63,EQUIPE!I63,EQUIPE!K63,EQUIPE!M63,EQUIPE!O63)</f>
        <v>2000</v>
      </c>
      <c r="K63" s="25">
        <v>1341.46</v>
      </c>
      <c r="L63" s="25">
        <v>271.47000000000003</v>
      </c>
      <c r="M63" s="27" t="str">
        <f>IFERROR(LEFT(
IF(INDEX('ETAPA OBRA'!C:C,MATCH($B63,'ETAPA OBRA'!$B:$B,0))="x",'ETAPA OBRA'!C$1&amp;", ","")&amp;
IF(INDEX('ETAPA OBRA'!D:D,MATCH($B63,'ETAPA OBRA'!$B:$B,0))="x",'ETAPA OBRA'!D$1&amp;", ","")&amp;
IF(INDEX('ETAPA OBRA'!F:F,MATCH($B63,'ETAPA OBRA'!$B:$B,0))="x",'ETAPA OBRA'!F$1&amp;", ","")&amp;
IF(INDEX('ETAPA OBRA'!G:G,MATCH($B63,'ETAPA OBRA'!$B:$B,0))="x",'ETAPA OBRA'!G$1&amp;", ","")&amp;
IF(INDEX('ETAPA OBRA'!H:H,MATCH($B63,'ETAPA OBRA'!$B:$B,0))="x",'ETAPA OBRA'!H$1&amp;", ","")&amp;
IF(INDEX('ETAPA OBRA'!I:I,MATCH($B63,'ETAPA OBRA'!$B:$B,0))="x",'ETAPA OBRA'!I$1&amp;", ","")&amp;
IF(INDEX('ETAPA OBRA'!J:J,MATCH($B63,'ETAPA OBRA'!$B:$B,0))="x",'ETAPA OBRA'!J$1&amp;", ","")&amp;
IF(INDEX('ETAPA OBRA'!K:K,MATCH($B63,'ETAPA OBRA'!$B:$B,0))="x",'ETAPA OBRA'!K$1&amp;", ","")&amp;
IF(INDEX('ETAPA OBRA'!L:L,MATCH($B63,'ETAPA OBRA'!$B:$B,0))="x",'ETAPA OBRA'!L$1&amp;", ","")&amp;
IF(INDEX('ETAPA OBRA'!M:M,MATCH($B63,'ETAPA OBRA'!$B:$B,0))="x",'ETAPA OBRA'!M$1&amp;", ","")&amp;
IF(INDEX('ETAPA OBRA'!N:N,MATCH($B63,'ETAPA OBRA'!$B:$B,0))="x",'ETAPA OBRA'!N$1&amp;", ","")&amp;
IF(INDEX('ETAPA OBRA'!O:O,MATCH($B63,'ETAPA OBRA'!$B:$B,0))="x",'ETAPA OBRA'!O$1&amp;", ","")&amp;
IF(INDEX('ETAPA OBRA'!P:P,MATCH($B63,'ETAPA OBRA'!$B:$B,0))="x",'ETAPA OBRA'!P$1&amp;", ","")&amp;
IF(INDEX('ETAPA OBRA'!Q:Q,MATCH($B63,'ETAPA OBRA'!$B:$B,0))="x",'ETAPA OBRA'!Q$1&amp;", ","")&amp;
IF(INDEX('ETAPA OBRA'!R:R,MATCH($B63,'ETAPA OBRA'!$B:$B,0))="x",'ETAPA OBRA'!R$1&amp;", ","")&amp;
IF(INDEX('ETAPA OBRA'!S:S,MATCH($B63,'ETAPA OBRA'!$B:$B,0))="x",'ETAPA OBRA'!S$1&amp;", ","")&amp;
IF(INDEX('ETAPA OBRA'!T:T,MATCH($B63,'ETAPA OBRA'!$B:$B,0))="x",'ETAPA OBRA'!T$1&amp;", ","")&amp;
IF(INDEX('ETAPA OBRA'!U:U,MATCH($B63,'ETAPA OBRA'!$B:$B,0))="x",'ETAPA OBRA'!U$1&amp;", ",""),LEN(
IF(INDEX('ETAPA OBRA'!C:C,MATCH($B63,'ETAPA OBRA'!$B:$B,0))="x",'ETAPA OBRA'!C$1&amp;", ","")&amp;
IF(INDEX('ETAPA OBRA'!D:D,MATCH($B63,'ETAPA OBRA'!$B:$B,0))="x",'ETAPA OBRA'!D$1&amp;", ","")&amp;
IF(INDEX('ETAPA OBRA'!F:F,MATCH($B63,'ETAPA OBRA'!$B:$B,0))="x",'ETAPA OBRA'!F$1&amp;", ","")&amp;
IF(INDEX('ETAPA OBRA'!G:G,MATCH($B63,'ETAPA OBRA'!$B:$B,0))="x",'ETAPA OBRA'!G$1&amp;", ","")&amp;
IF(INDEX('ETAPA OBRA'!H:H,MATCH($B63,'ETAPA OBRA'!$B:$B,0))="x",'ETAPA OBRA'!H$1&amp;", ","")&amp;
IF(INDEX('ETAPA OBRA'!I:I,MATCH($B63,'ETAPA OBRA'!$B:$B,0))="x",'ETAPA OBRA'!I$1&amp;", ","")&amp;
IF(INDEX('ETAPA OBRA'!J:J,MATCH($B63,'ETAPA OBRA'!$B:$B,0))="x",'ETAPA OBRA'!J$1&amp;", ","")&amp;
IF(INDEX('ETAPA OBRA'!K:K,MATCH($B63,'ETAPA OBRA'!$B:$B,0))="x",'ETAPA OBRA'!K$1&amp;", ","")&amp;
IF(INDEX('ETAPA OBRA'!L:L,MATCH($B63,'ETAPA OBRA'!$B:$B,0))="x",'ETAPA OBRA'!L$1&amp;", ","")&amp;
IF(INDEX('ETAPA OBRA'!M:M,MATCH($B63,'ETAPA OBRA'!$B:$B,0))="x",'ETAPA OBRA'!M$1&amp;", ","")&amp;
IF(INDEX('ETAPA OBRA'!N:N,MATCH($B63,'ETAPA OBRA'!$B:$B,0))="x",'ETAPA OBRA'!N$1&amp;", ","")&amp;
IF(INDEX('ETAPA OBRA'!O:O,MATCH($B63,'ETAPA OBRA'!$B:$B,0))="x",'ETAPA OBRA'!O$1&amp;", ","")&amp;
IF(INDEX('ETAPA OBRA'!P:P,MATCH($B63,'ETAPA OBRA'!$B:$B,0))="x",'ETAPA OBRA'!P$1&amp;", ","")&amp;
IF(INDEX('ETAPA OBRA'!Q:Q,MATCH($B63,'ETAPA OBRA'!$B:$B,0))="x",'ETAPA OBRA'!Q$1&amp;", ","")&amp;
IF(INDEX('ETAPA OBRA'!R:R,MATCH($B63,'ETAPA OBRA'!$B:$B,0))="x",'ETAPA OBRA'!R$1&amp;", ","")&amp;
IF(INDEX('ETAPA OBRA'!S:S,MATCH($B63,'ETAPA OBRA'!$B:$B,0))="x",'ETAPA OBRA'!S$1&amp;", ","")&amp;
IF(INDEX('ETAPA OBRA'!T:T,MATCH($B63,'ETAPA OBRA'!$B:$B,0))="x",'ETAPA OBRA'!T$1&amp;", ","")&amp;
IF(INDEX('ETAPA OBRA'!U:U,MATCH($B63,'ETAPA OBRA'!$B:$B,0))="x",'ETAPA OBRA'!U$1&amp;", ","")
)-2),"")</f>
        <v>Finalizado</v>
      </c>
      <c r="N63" s="23" t="str">
        <f t="shared" si="5"/>
        <v>Finalizado</v>
      </c>
      <c r="O63" s="28">
        <v>18823.75</v>
      </c>
      <c r="P63" s="37">
        <f t="shared" si="1"/>
        <v>3612.9300000000003</v>
      </c>
      <c r="Q63" s="28">
        <f t="shared" si="6"/>
        <v>15210.82</v>
      </c>
      <c r="R63" s="29">
        <f t="shared" si="7"/>
        <v>0.80806534298426191</v>
      </c>
      <c r="S63" s="23" t="str">
        <f t="shared" si="8"/>
        <v>✅ OK - Fechar Parceiro</v>
      </c>
      <c r="T63" s="23" t="str">
        <f>Cronograma[[#This Row],[STATUS]]</f>
        <v>✅ CONCLUÍDO</v>
      </c>
    </row>
    <row r="64" spans="1:20" ht="15" customHeight="1" x14ac:dyDescent="0.3">
      <c r="A64" s="23" t="s">
        <v>209</v>
      </c>
      <c r="B64" s="23" t="str">
        <f>IF(A64&lt;&gt;"","contel-"&amp;TEXT(COUNTA($A$2:A64),"00"),"")</f>
        <v>contel-63</v>
      </c>
      <c r="C64" s="23" t="s">
        <v>21</v>
      </c>
      <c r="D64" s="23" t="s">
        <v>210</v>
      </c>
      <c r="E64" s="23" t="s">
        <v>32</v>
      </c>
      <c r="F64" s="52" t="s">
        <v>211</v>
      </c>
      <c r="G64" s="23">
        <v>1812</v>
      </c>
      <c r="H64" s="30">
        <v>16668</v>
      </c>
      <c r="I64" s="23" t="s">
        <v>34</v>
      </c>
      <c r="J64" s="25">
        <f>SUM(EQUIPE!C64,EQUIPE!E64,EQUIPE!G64,EQUIPE!I64,EQUIPE!K64,EQUIPE!M64,EQUIPE!O64)</f>
        <v>2200</v>
      </c>
      <c r="K64" s="25">
        <v>2378.6999999999998</v>
      </c>
      <c r="L64" s="25">
        <v>178.03</v>
      </c>
      <c r="M64" s="27" t="str">
        <f>IFERROR(LEFT(
IF(INDEX('ETAPA OBRA'!C:C,MATCH($B64,'ETAPA OBRA'!$B:$B,0))="x",'ETAPA OBRA'!C$1&amp;", ","")&amp;
IF(INDEX('ETAPA OBRA'!D:D,MATCH($B64,'ETAPA OBRA'!$B:$B,0))="x",'ETAPA OBRA'!D$1&amp;", ","")&amp;
IF(INDEX('ETAPA OBRA'!F:F,MATCH($B64,'ETAPA OBRA'!$B:$B,0))="x",'ETAPA OBRA'!F$1&amp;", ","")&amp;
IF(INDEX('ETAPA OBRA'!G:G,MATCH($B64,'ETAPA OBRA'!$B:$B,0))="x",'ETAPA OBRA'!G$1&amp;", ","")&amp;
IF(INDEX('ETAPA OBRA'!H:H,MATCH($B64,'ETAPA OBRA'!$B:$B,0))="x",'ETAPA OBRA'!H$1&amp;", ","")&amp;
IF(INDEX('ETAPA OBRA'!I:I,MATCH($B64,'ETAPA OBRA'!$B:$B,0))="x",'ETAPA OBRA'!I$1&amp;", ","")&amp;
IF(INDEX('ETAPA OBRA'!J:J,MATCH($B64,'ETAPA OBRA'!$B:$B,0))="x",'ETAPA OBRA'!J$1&amp;", ","")&amp;
IF(INDEX('ETAPA OBRA'!K:K,MATCH($B64,'ETAPA OBRA'!$B:$B,0))="x",'ETAPA OBRA'!K$1&amp;", ","")&amp;
IF(INDEX('ETAPA OBRA'!L:L,MATCH($B64,'ETAPA OBRA'!$B:$B,0))="x",'ETAPA OBRA'!L$1&amp;", ","")&amp;
IF(INDEX('ETAPA OBRA'!M:M,MATCH($B64,'ETAPA OBRA'!$B:$B,0))="x",'ETAPA OBRA'!M$1&amp;", ","")&amp;
IF(INDEX('ETAPA OBRA'!N:N,MATCH($B64,'ETAPA OBRA'!$B:$B,0))="x",'ETAPA OBRA'!N$1&amp;", ","")&amp;
IF(INDEX('ETAPA OBRA'!O:O,MATCH($B64,'ETAPA OBRA'!$B:$B,0))="x",'ETAPA OBRA'!O$1&amp;", ","")&amp;
IF(INDEX('ETAPA OBRA'!P:P,MATCH($B64,'ETAPA OBRA'!$B:$B,0))="x",'ETAPA OBRA'!P$1&amp;", ","")&amp;
IF(INDEX('ETAPA OBRA'!Q:Q,MATCH($B64,'ETAPA OBRA'!$B:$B,0))="x",'ETAPA OBRA'!Q$1&amp;", ","")&amp;
IF(INDEX('ETAPA OBRA'!R:R,MATCH($B64,'ETAPA OBRA'!$B:$B,0))="x",'ETAPA OBRA'!R$1&amp;", ","")&amp;
IF(INDEX('ETAPA OBRA'!S:S,MATCH($B64,'ETAPA OBRA'!$B:$B,0))="x",'ETAPA OBRA'!S$1&amp;", ","")&amp;
IF(INDEX('ETAPA OBRA'!T:T,MATCH($B64,'ETAPA OBRA'!$B:$B,0))="x",'ETAPA OBRA'!T$1&amp;", ","")&amp;
IF(INDEX('ETAPA OBRA'!U:U,MATCH($B64,'ETAPA OBRA'!$B:$B,0))="x",'ETAPA OBRA'!U$1&amp;", ",""),LEN(
IF(INDEX('ETAPA OBRA'!C:C,MATCH($B64,'ETAPA OBRA'!$B:$B,0))="x",'ETAPA OBRA'!C$1&amp;", ","")&amp;
IF(INDEX('ETAPA OBRA'!D:D,MATCH($B64,'ETAPA OBRA'!$B:$B,0))="x",'ETAPA OBRA'!D$1&amp;", ","")&amp;
IF(INDEX('ETAPA OBRA'!F:F,MATCH($B64,'ETAPA OBRA'!$B:$B,0))="x",'ETAPA OBRA'!F$1&amp;", ","")&amp;
IF(INDEX('ETAPA OBRA'!G:G,MATCH($B64,'ETAPA OBRA'!$B:$B,0))="x",'ETAPA OBRA'!G$1&amp;", ","")&amp;
IF(INDEX('ETAPA OBRA'!H:H,MATCH($B64,'ETAPA OBRA'!$B:$B,0))="x",'ETAPA OBRA'!H$1&amp;", ","")&amp;
IF(INDEX('ETAPA OBRA'!I:I,MATCH($B64,'ETAPA OBRA'!$B:$B,0))="x",'ETAPA OBRA'!I$1&amp;", ","")&amp;
IF(INDEX('ETAPA OBRA'!J:J,MATCH($B64,'ETAPA OBRA'!$B:$B,0))="x",'ETAPA OBRA'!J$1&amp;", ","")&amp;
IF(INDEX('ETAPA OBRA'!K:K,MATCH($B64,'ETAPA OBRA'!$B:$B,0))="x",'ETAPA OBRA'!K$1&amp;", ","")&amp;
IF(INDEX('ETAPA OBRA'!L:L,MATCH($B64,'ETAPA OBRA'!$B:$B,0))="x",'ETAPA OBRA'!L$1&amp;", ","")&amp;
IF(INDEX('ETAPA OBRA'!M:M,MATCH($B64,'ETAPA OBRA'!$B:$B,0))="x",'ETAPA OBRA'!M$1&amp;", ","")&amp;
IF(INDEX('ETAPA OBRA'!N:N,MATCH($B64,'ETAPA OBRA'!$B:$B,0))="x",'ETAPA OBRA'!N$1&amp;", ","")&amp;
IF(INDEX('ETAPA OBRA'!O:O,MATCH($B64,'ETAPA OBRA'!$B:$B,0))="x",'ETAPA OBRA'!O$1&amp;", ","")&amp;
IF(INDEX('ETAPA OBRA'!P:P,MATCH($B64,'ETAPA OBRA'!$B:$B,0))="x",'ETAPA OBRA'!P$1&amp;", ","")&amp;
IF(INDEX('ETAPA OBRA'!Q:Q,MATCH($B64,'ETAPA OBRA'!$B:$B,0))="x",'ETAPA OBRA'!Q$1&amp;", ","")&amp;
IF(INDEX('ETAPA OBRA'!R:R,MATCH($B64,'ETAPA OBRA'!$B:$B,0))="x",'ETAPA OBRA'!R$1&amp;", ","")&amp;
IF(INDEX('ETAPA OBRA'!S:S,MATCH($B64,'ETAPA OBRA'!$B:$B,0))="x",'ETAPA OBRA'!S$1&amp;", ","")&amp;
IF(INDEX('ETAPA OBRA'!T:T,MATCH($B64,'ETAPA OBRA'!$B:$B,0))="x",'ETAPA OBRA'!T$1&amp;", ","")&amp;
IF(INDEX('ETAPA OBRA'!U:U,MATCH($B64,'ETAPA OBRA'!$B:$B,0))="x",'ETAPA OBRA'!U$1&amp;", ","")
)-2),"")</f>
        <v>Finalizado</v>
      </c>
      <c r="N64" s="23" t="str">
        <f t="shared" si="5"/>
        <v>Finalizado</v>
      </c>
      <c r="O64" s="28">
        <v>12561.69</v>
      </c>
      <c r="P64" s="37">
        <f t="shared" si="1"/>
        <v>4756.7299999999996</v>
      </c>
      <c r="Q64" s="28">
        <f t="shared" si="6"/>
        <v>7804.9600000000009</v>
      </c>
      <c r="R64" s="29">
        <f t="shared" si="7"/>
        <v>0.62133041015977952</v>
      </c>
      <c r="S64" s="23" t="str">
        <f t="shared" si="8"/>
        <v>✅ OK - Fechar Parceiro</v>
      </c>
      <c r="T64" s="23" t="str">
        <f>Cronograma[[#This Row],[STATUS]]</f>
        <v>✅ CONCLUÍDO</v>
      </c>
    </row>
    <row r="65" spans="1:20" ht="15" customHeight="1" x14ac:dyDescent="0.3">
      <c r="A65" s="23" t="s">
        <v>212</v>
      </c>
      <c r="B65" s="23" t="str">
        <f>IF(A65&lt;&gt;"","contel-"&amp;TEXT(COUNTA($A$2:A65),"00"),"")</f>
        <v>contel-64</v>
      </c>
      <c r="C65" s="23" t="s">
        <v>21</v>
      </c>
      <c r="D65" s="23" t="s">
        <v>213</v>
      </c>
      <c r="E65" s="23" t="s">
        <v>117</v>
      </c>
      <c r="F65" s="52" t="s">
        <v>214</v>
      </c>
      <c r="G65" s="23">
        <v>1813</v>
      </c>
      <c r="H65" s="30">
        <v>16679</v>
      </c>
      <c r="I65" s="23" t="s">
        <v>25</v>
      </c>
      <c r="J65" s="25">
        <f>SUM(EQUIPE!C65,EQUIPE!E65,EQUIPE!G65,EQUIPE!I65,EQUIPE!K65,EQUIPE!M65,EQUIPE!O65)</f>
        <v>2800</v>
      </c>
      <c r="K65" s="25">
        <v>0</v>
      </c>
      <c r="L65" s="25">
        <v>0</v>
      </c>
      <c r="M65" s="27" t="str">
        <f>IFERROR(LEFT(
IF(INDEX('ETAPA OBRA'!C:C,MATCH($B65,'ETAPA OBRA'!$B:$B,0))="x",'ETAPA OBRA'!C$1&amp;", ","")&amp;
IF(INDEX('ETAPA OBRA'!D:D,MATCH($B65,'ETAPA OBRA'!$B:$B,0))="x",'ETAPA OBRA'!D$1&amp;", ","")&amp;
IF(INDEX('ETAPA OBRA'!F:F,MATCH($B65,'ETAPA OBRA'!$B:$B,0))="x",'ETAPA OBRA'!F$1&amp;", ","")&amp;
IF(INDEX('ETAPA OBRA'!G:G,MATCH($B65,'ETAPA OBRA'!$B:$B,0))="x",'ETAPA OBRA'!G$1&amp;", ","")&amp;
IF(INDEX('ETAPA OBRA'!H:H,MATCH($B65,'ETAPA OBRA'!$B:$B,0))="x",'ETAPA OBRA'!H$1&amp;", ","")&amp;
IF(INDEX('ETAPA OBRA'!I:I,MATCH($B65,'ETAPA OBRA'!$B:$B,0))="x",'ETAPA OBRA'!I$1&amp;", ","")&amp;
IF(INDEX('ETAPA OBRA'!J:J,MATCH($B65,'ETAPA OBRA'!$B:$B,0))="x",'ETAPA OBRA'!J$1&amp;", ","")&amp;
IF(INDEX('ETAPA OBRA'!K:K,MATCH($B65,'ETAPA OBRA'!$B:$B,0))="x",'ETAPA OBRA'!K$1&amp;", ","")&amp;
IF(INDEX('ETAPA OBRA'!L:L,MATCH($B65,'ETAPA OBRA'!$B:$B,0))="x",'ETAPA OBRA'!L$1&amp;", ","")&amp;
IF(INDEX('ETAPA OBRA'!M:M,MATCH($B65,'ETAPA OBRA'!$B:$B,0))="x",'ETAPA OBRA'!M$1&amp;", ","")&amp;
IF(INDEX('ETAPA OBRA'!N:N,MATCH($B65,'ETAPA OBRA'!$B:$B,0))="x",'ETAPA OBRA'!N$1&amp;", ","")&amp;
IF(INDEX('ETAPA OBRA'!O:O,MATCH($B65,'ETAPA OBRA'!$B:$B,0))="x",'ETAPA OBRA'!O$1&amp;", ","")&amp;
IF(INDEX('ETAPA OBRA'!P:P,MATCH($B65,'ETAPA OBRA'!$B:$B,0))="x",'ETAPA OBRA'!P$1&amp;", ","")&amp;
IF(INDEX('ETAPA OBRA'!Q:Q,MATCH($B65,'ETAPA OBRA'!$B:$B,0))="x",'ETAPA OBRA'!Q$1&amp;", ","")&amp;
IF(INDEX('ETAPA OBRA'!R:R,MATCH($B65,'ETAPA OBRA'!$B:$B,0))="x",'ETAPA OBRA'!R$1&amp;", ","")&amp;
IF(INDEX('ETAPA OBRA'!S:S,MATCH($B65,'ETAPA OBRA'!$B:$B,0))="x",'ETAPA OBRA'!S$1&amp;", ","")&amp;
IF(INDEX('ETAPA OBRA'!T:T,MATCH($B65,'ETAPA OBRA'!$B:$B,0))="x",'ETAPA OBRA'!T$1&amp;", ","")&amp;
IF(INDEX('ETAPA OBRA'!U:U,MATCH($B65,'ETAPA OBRA'!$B:$B,0))="x",'ETAPA OBRA'!U$1&amp;", ",""),LEN(
IF(INDEX('ETAPA OBRA'!C:C,MATCH($B65,'ETAPA OBRA'!$B:$B,0))="x",'ETAPA OBRA'!C$1&amp;", ","")&amp;
IF(INDEX('ETAPA OBRA'!D:D,MATCH($B65,'ETAPA OBRA'!$B:$B,0))="x",'ETAPA OBRA'!D$1&amp;", ","")&amp;
IF(INDEX('ETAPA OBRA'!F:F,MATCH($B65,'ETAPA OBRA'!$B:$B,0))="x",'ETAPA OBRA'!F$1&amp;", ","")&amp;
IF(INDEX('ETAPA OBRA'!G:G,MATCH($B65,'ETAPA OBRA'!$B:$B,0))="x",'ETAPA OBRA'!G$1&amp;", ","")&amp;
IF(INDEX('ETAPA OBRA'!H:H,MATCH($B65,'ETAPA OBRA'!$B:$B,0))="x",'ETAPA OBRA'!H$1&amp;", ","")&amp;
IF(INDEX('ETAPA OBRA'!I:I,MATCH($B65,'ETAPA OBRA'!$B:$B,0))="x",'ETAPA OBRA'!I$1&amp;", ","")&amp;
IF(INDEX('ETAPA OBRA'!J:J,MATCH($B65,'ETAPA OBRA'!$B:$B,0))="x",'ETAPA OBRA'!J$1&amp;", ","")&amp;
IF(INDEX('ETAPA OBRA'!K:K,MATCH($B65,'ETAPA OBRA'!$B:$B,0))="x",'ETAPA OBRA'!K$1&amp;", ","")&amp;
IF(INDEX('ETAPA OBRA'!L:L,MATCH($B65,'ETAPA OBRA'!$B:$B,0))="x",'ETAPA OBRA'!L$1&amp;", ","")&amp;
IF(INDEX('ETAPA OBRA'!M:M,MATCH($B65,'ETAPA OBRA'!$B:$B,0))="x",'ETAPA OBRA'!M$1&amp;", ","")&amp;
IF(INDEX('ETAPA OBRA'!N:N,MATCH($B65,'ETAPA OBRA'!$B:$B,0))="x",'ETAPA OBRA'!N$1&amp;", ","")&amp;
IF(INDEX('ETAPA OBRA'!O:O,MATCH($B65,'ETAPA OBRA'!$B:$B,0))="x",'ETAPA OBRA'!O$1&amp;", ","")&amp;
IF(INDEX('ETAPA OBRA'!P:P,MATCH($B65,'ETAPA OBRA'!$B:$B,0))="x",'ETAPA OBRA'!P$1&amp;", ","")&amp;
IF(INDEX('ETAPA OBRA'!Q:Q,MATCH($B65,'ETAPA OBRA'!$B:$B,0))="x",'ETAPA OBRA'!Q$1&amp;", ","")&amp;
IF(INDEX('ETAPA OBRA'!R:R,MATCH($B65,'ETAPA OBRA'!$B:$B,0))="x",'ETAPA OBRA'!R$1&amp;", ","")&amp;
IF(INDEX('ETAPA OBRA'!S:S,MATCH($B65,'ETAPA OBRA'!$B:$B,0))="x",'ETAPA OBRA'!S$1&amp;", ","")&amp;
IF(INDEX('ETAPA OBRA'!T:T,MATCH($B65,'ETAPA OBRA'!$B:$B,0))="x",'ETAPA OBRA'!T$1&amp;", ","")&amp;
IF(INDEX('ETAPA OBRA'!U:U,MATCH($B65,'ETAPA OBRA'!$B:$B,0))="x",'ETAPA OBRA'!U$1&amp;", ","")
)-2),"")</f>
        <v>Cancelada</v>
      </c>
      <c r="N65" s="23" t="str">
        <f t="shared" si="5"/>
        <v>Cancelada</v>
      </c>
      <c r="O65" s="28">
        <v>199000</v>
      </c>
      <c r="P65" s="37">
        <f t="shared" si="1"/>
        <v>2800</v>
      </c>
      <c r="Q65" s="28">
        <f t="shared" si="6"/>
        <v>196200</v>
      </c>
      <c r="R65" s="29">
        <f t="shared" si="7"/>
        <v>0.98592964824120599</v>
      </c>
      <c r="S65" s="23" t="str">
        <f t="shared" si="8"/>
        <v>✅ OK - Fechar Parceiro</v>
      </c>
      <c r="T65" s="23" t="str">
        <f>Cronograma[[#This Row],[STATUS]]</f>
        <v>🚫CANCELADO</v>
      </c>
    </row>
    <row r="66" spans="1:20" ht="15" customHeight="1" x14ac:dyDescent="0.3">
      <c r="A66" s="23" t="s">
        <v>215</v>
      </c>
      <c r="B66" s="23" t="str">
        <f>IF(A66&lt;&gt;"","contel-"&amp;TEXT(COUNTA($A$2:A66),"00"),"")</f>
        <v>contel-65</v>
      </c>
      <c r="C66" s="23" t="s">
        <v>21</v>
      </c>
      <c r="D66" s="23" t="s">
        <v>216</v>
      </c>
      <c r="E66" s="23" t="s">
        <v>28</v>
      </c>
      <c r="F66" s="52" t="s">
        <v>217</v>
      </c>
      <c r="G66" s="23">
        <v>1823</v>
      </c>
      <c r="H66" s="30">
        <v>16697</v>
      </c>
      <c r="I66" s="23" t="s">
        <v>25</v>
      </c>
      <c r="J66" s="25">
        <f>SUM(EQUIPE!C66,EQUIPE!E66,EQUIPE!G66,EQUIPE!I66,EQUIPE!K66,EQUIPE!M66,EQUIPE!O66)</f>
        <v>1800</v>
      </c>
      <c r="K66" s="25">
        <v>2038</v>
      </c>
      <c r="L66" s="25">
        <v>0</v>
      </c>
      <c r="M66" s="27" t="str">
        <f ca="1">IFERROR(LEFT(
IF(INDEX('ETAPA OBRA'!C:C,MATCH($B66,'ETAPA OBRA'!$B:$B,0))="x",'ETAPA OBRA'!C$1&amp;", ","")&amp;
IF(INDEX('ETAPA OBRA'!D:D,MATCH($B66,'ETAPA OBRA'!$B:$B,0))="x",'ETAPA OBRA'!D$1&amp;", ","")&amp;
IF(INDEX('ETAPA OBRA'!F:F,MATCH($B66,'ETAPA OBRA'!$B:$B,0))="x",'ETAPA OBRA'!F$1&amp;", ","")&amp;
IF(INDEX('ETAPA OBRA'!G:G,MATCH($B66,'ETAPA OBRA'!$B:$B,0))="x",'ETAPA OBRA'!G$1&amp;", ","")&amp;
IF(INDEX('ETAPA OBRA'!H:H,MATCH($B66,'ETAPA OBRA'!$B:$B,0))="x",'ETAPA OBRA'!H$1&amp;", ","")&amp;
IF(INDEX('ETAPA OBRA'!I:I,MATCH($B66,'ETAPA OBRA'!$B:$B,0))="x",'ETAPA OBRA'!I$1&amp;", ","")&amp;
IF(INDEX('ETAPA OBRA'!J:J,MATCH($B66,'ETAPA OBRA'!$B:$B,0))="x",'ETAPA OBRA'!J$1&amp;", ","")&amp;
IF(INDEX('ETAPA OBRA'!K:K,MATCH($B66,'ETAPA OBRA'!$B:$B,0))="x",'ETAPA OBRA'!K$1&amp;", ","")&amp;
IF(INDEX('ETAPA OBRA'!L:L,MATCH($B66,'ETAPA OBRA'!$B:$B,0))="x",'ETAPA OBRA'!L$1&amp;", ","")&amp;
IF(INDEX('ETAPA OBRA'!M:M,MATCH($B66,'ETAPA OBRA'!$B:$B,0))="x",'ETAPA OBRA'!M$1&amp;", ","")&amp;
IF(INDEX('ETAPA OBRA'!N:N,MATCH($B66,'ETAPA OBRA'!$B:$B,0))="x",'ETAPA OBRA'!N$1&amp;", ","")&amp;
IF(INDEX('ETAPA OBRA'!O:O,MATCH($B66,'ETAPA OBRA'!$B:$B,0))="x",'ETAPA OBRA'!O$1&amp;", ","")&amp;
IF(INDEX('ETAPA OBRA'!P:P,MATCH($B66,'ETAPA OBRA'!$B:$B,0))="x",'ETAPA OBRA'!P$1&amp;", ","")&amp;
IF(INDEX('ETAPA OBRA'!Q:Q,MATCH($B66,'ETAPA OBRA'!$B:$B,0))="x",'ETAPA OBRA'!Q$1&amp;", ","")&amp;
IF(INDEX('ETAPA OBRA'!R:R,MATCH($B66,'ETAPA OBRA'!$B:$B,0))="x",'ETAPA OBRA'!R$1&amp;", ","")&amp;
IF(INDEX('ETAPA OBRA'!S:S,MATCH($B66,'ETAPA OBRA'!$B:$B,0))="x",'ETAPA OBRA'!S$1&amp;", ","")&amp;
IF(INDEX('ETAPA OBRA'!T:T,MATCH($B66,'ETAPA OBRA'!$B:$B,0))="x",'ETAPA OBRA'!T$1&amp;", ","")&amp;
IF(INDEX('ETAPA OBRA'!U:U,MATCH($B66,'ETAPA OBRA'!$B:$B,0))="x",'ETAPA OBRA'!U$1&amp;", ",""),LEN(
IF(INDEX('ETAPA OBRA'!C:C,MATCH($B66,'ETAPA OBRA'!$B:$B,0))="x",'ETAPA OBRA'!C$1&amp;", ","")&amp;
IF(INDEX('ETAPA OBRA'!D:D,MATCH($B66,'ETAPA OBRA'!$B:$B,0))="x",'ETAPA OBRA'!D$1&amp;", ","")&amp;
IF(INDEX('ETAPA OBRA'!F:F,MATCH($B66,'ETAPA OBRA'!$B:$B,0))="x",'ETAPA OBRA'!F$1&amp;", ","")&amp;
IF(INDEX('ETAPA OBRA'!G:G,MATCH($B66,'ETAPA OBRA'!$B:$B,0))="x",'ETAPA OBRA'!G$1&amp;", ","")&amp;
IF(INDEX('ETAPA OBRA'!H:H,MATCH($B66,'ETAPA OBRA'!$B:$B,0))="x",'ETAPA OBRA'!H$1&amp;", ","")&amp;
IF(INDEX('ETAPA OBRA'!I:I,MATCH($B66,'ETAPA OBRA'!$B:$B,0))="x",'ETAPA OBRA'!I$1&amp;", ","")&amp;
IF(INDEX('ETAPA OBRA'!J:J,MATCH($B66,'ETAPA OBRA'!$B:$B,0))="x",'ETAPA OBRA'!J$1&amp;", ","")&amp;
IF(INDEX('ETAPA OBRA'!K:K,MATCH($B66,'ETAPA OBRA'!$B:$B,0))="x",'ETAPA OBRA'!K$1&amp;", ","")&amp;
IF(INDEX('ETAPA OBRA'!L:L,MATCH($B66,'ETAPA OBRA'!$B:$B,0))="x",'ETAPA OBRA'!L$1&amp;", ","")&amp;
IF(INDEX('ETAPA OBRA'!M:M,MATCH($B66,'ETAPA OBRA'!$B:$B,0))="x",'ETAPA OBRA'!M$1&amp;", ","")&amp;
IF(INDEX('ETAPA OBRA'!N:N,MATCH($B66,'ETAPA OBRA'!$B:$B,0))="x",'ETAPA OBRA'!N$1&amp;", ","")&amp;
IF(INDEX('ETAPA OBRA'!O:O,MATCH($B66,'ETAPA OBRA'!$B:$B,0))="x",'ETAPA OBRA'!O$1&amp;", ","")&amp;
IF(INDEX('ETAPA OBRA'!P:P,MATCH($B66,'ETAPA OBRA'!$B:$B,0))="x",'ETAPA OBRA'!P$1&amp;", ","")&amp;
IF(INDEX('ETAPA OBRA'!Q:Q,MATCH($B66,'ETAPA OBRA'!$B:$B,0))="x",'ETAPA OBRA'!Q$1&amp;", ","")&amp;
IF(INDEX('ETAPA OBRA'!R:R,MATCH($B66,'ETAPA OBRA'!$B:$B,0))="x",'ETAPA OBRA'!R$1&amp;", ","")&amp;
IF(INDEX('ETAPA OBRA'!S:S,MATCH($B66,'ETAPA OBRA'!$B:$B,0))="x",'ETAPA OBRA'!S$1&amp;", ","")&amp;
IF(INDEX('ETAPA OBRA'!T:T,MATCH($B66,'ETAPA OBRA'!$B:$B,0))="x",'ETAPA OBRA'!T$1&amp;", ","")&amp;
IF(INDEX('ETAPA OBRA'!U:U,MATCH($B66,'ETAPA OBRA'!$B:$B,0))="x",'ETAPA OBRA'!U$1&amp;", ","")
)-2),"")</f>
        <v>Execução</v>
      </c>
      <c r="N66" s="23" t="str">
        <f t="shared" ref="N66:N97" ca="1" si="9">IF(M66="","Não iniciada",
IF(ISNUMBER(FIND("Cancelada",M66)),"Cancelada",
IF(ISNUMBER(FIND("Paralisada",M66)),"Paralisada",
IF(ISNUMBER(FIND("Finalizado",M66)),"Finalizado",
"Em andamento"))))</f>
        <v>Em andamento</v>
      </c>
      <c r="O66" s="28">
        <v>84836.43</v>
      </c>
      <c r="P66" s="37">
        <f t="shared" ref="P66:P129" si="10">SUM($J66:$L66)</f>
        <v>3838</v>
      </c>
      <c r="Q66" s="28">
        <f t="shared" ref="Q66:Q97" si="11">O66-P66</f>
        <v>80998.429999999993</v>
      </c>
      <c r="R66" s="29">
        <f t="shared" ref="R66:R97" si="12">IF(O66=0,0,Q66/O66)</f>
        <v>0.95476000109858461</v>
      </c>
      <c r="S66" s="23" t="str">
        <f t="shared" ref="S66:S97" si="13">IF(R66&gt;=0.2,"✅ OK - Fechar Parceiro","⚠️ Ajustar Custos (&lt;20%)")</f>
        <v>✅ OK - Fechar Parceiro</v>
      </c>
      <c r="T66" s="23" t="str">
        <f ca="1">Cronograma[[#This Row],[STATUS]]</f>
        <v>⏰ ATRASADO</v>
      </c>
    </row>
    <row r="67" spans="1:20" ht="15" customHeight="1" x14ac:dyDescent="0.3">
      <c r="A67" s="23" t="s">
        <v>218</v>
      </c>
      <c r="B67" s="23" t="str">
        <f>IF(A67&lt;&gt;"","contel-"&amp;TEXT(COUNTA($A$2:A67),"00"),"")</f>
        <v>contel-66</v>
      </c>
      <c r="C67" s="23" t="s">
        <v>219</v>
      </c>
      <c r="D67" s="23" t="s">
        <v>96</v>
      </c>
      <c r="E67" s="23" t="s">
        <v>97</v>
      </c>
      <c r="F67" s="52" t="s">
        <v>220</v>
      </c>
      <c r="G67" s="23">
        <v>1814</v>
      </c>
      <c r="H67" s="30">
        <v>16677</v>
      </c>
      <c r="I67" s="23" t="s">
        <v>63</v>
      </c>
      <c r="J67" s="25">
        <f>SUM(EQUIPE!C67,EQUIPE!E67,EQUIPE!G67,EQUIPE!I67,EQUIPE!K67,EQUIPE!M67,EQUIPE!O67)</f>
        <v>0</v>
      </c>
      <c r="K67" s="25">
        <v>0</v>
      </c>
      <c r="L67" s="25">
        <v>57914.720000000001</v>
      </c>
      <c r="M67" s="27" t="str">
        <f ca="1">IFERROR(LEFT(
IF(INDEX('ETAPA OBRA'!C:C,MATCH($B67,'ETAPA OBRA'!$B:$B,0))="x",'ETAPA OBRA'!C$1&amp;", ","")&amp;
IF(INDEX('ETAPA OBRA'!D:D,MATCH($B67,'ETAPA OBRA'!$B:$B,0))="x",'ETAPA OBRA'!D$1&amp;", ","")&amp;
IF(INDEX('ETAPA OBRA'!F:F,MATCH($B67,'ETAPA OBRA'!$B:$B,0))="x",'ETAPA OBRA'!F$1&amp;", ","")&amp;
IF(INDEX('ETAPA OBRA'!G:G,MATCH($B67,'ETAPA OBRA'!$B:$B,0))="x",'ETAPA OBRA'!G$1&amp;", ","")&amp;
IF(INDEX('ETAPA OBRA'!H:H,MATCH($B67,'ETAPA OBRA'!$B:$B,0))="x",'ETAPA OBRA'!H$1&amp;", ","")&amp;
IF(INDEX('ETAPA OBRA'!I:I,MATCH($B67,'ETAPA OBRA'!$B:$B,0))="x",'ETAPA OBRA'!I$1&amp;", ","")&amp;
IF(INDEX('ETAPA OBRA'!J:J,MATCH($B67,'ETAPA OBRA'!$B:$B,0))="x",'ETAPA OBRA'!J$1&amp;", ","")&amp;
IF(INDEX('ETAPA OBRA'!K:K,MATCH($B67,'ETAPA OBRA'!$B:$B,0))="x",'ETAPA OBRA'!K$1&amp;", ","")&amp;
IF(INDEX('ETAPA OBRA'!L:L,MATCH($B67,'ETAPA OBRA'!$B:$B,0))="x",'ETAPA OBRA'!L$1&amp;", ","")&amp;
IF(INDEX('ETAPA OBRA'!M:M,MATCH($B67,'ETAPA OBRA'!$B:$B,0))="x",'ETAPA OBRA'!M$1&amp;", ","")&amp;
IF(INDEX('ETAPA OBRA'!N:N,MATCH($B67,'ETAPA OBRA'!$B:$B,0))="x",'ETAPA OBRA'!N$1&amp;", ","")&amp;
IF(INDEX('ETAPA OBRA'!O:O,MATCH($B67,'ETAPA OBRA'!$B:$B,0))="x",'ETAPA OBRA'!O$1&amp;", ","")&amp;
IF(INDEX('ETAPA OBRA'!P:P,MATCH($B67,'ETAPA OBRA'!$B:$B,0))="x",'ETAPA OBRA'!P$1&amp;", ","")&amp;
IF(INDEX('ETAPA OBRA'!Q:Q,MATCH($B67,'ETAPA OBRA'!$B:$B,0))="x",'ETAPA OBRA'!Q$1&amp;", ","")&amp;
IF(INDEX('ETAPA OBRA'!R:R,MATCH($B67,'ETAPA OBRA'!$B:$B,0))="x",'ETAPA OBRA'!R$1&amp;", ","")&amp;
IF(INDEX('ETAPA OBRA'!S:S,MATCH($B67,'ETAPA OBRA'!$B:$B,0))="x",'ETAPA OBRA'!S$1&amp;", ","")&amp;
IF(INDEX('ETAPA OBRA'!T:T,MATCH($B67,'ETAPA OBRA'!$B:$B,0))="x",'ETAPA OBRA'!T$1&amp;", ","")&amp;
IF(INDEX('ETAPA OBRA'!U:U,MATCH($B67,'ETAPA OBRA'!$B:$B,0))="x",'ETAPA OBRA'!U$1&amp;", ",""),LEN(
IF(INDEX('ETAPA OBRA'!C:C,MATCH($B67,'ETAPA OBRA'!$B:$B,0))="x",'ETAPA OBRA'!C$1&amp;", ","")&amp;
IF(INDEX('ETAPA OBRA'!D:D,MATCH($B67,'ETAPA OBRA'!$B:$B,0))="x",'ETAPA OBRA'!D$1&amp;", ","")&amp;
IF(INDEX('ETAPA OBRA'!F:F,MATCH($B67,'ETAPA OBRA'!$B:$B,0))="x",'ETAPA OBRA'!F$1&amp;", ","")&amp;
IF(INDEX('ETAPA OBRA'!G:G,MATCH($B67,'ETAPA OBRA'!$B:$B,0))="x",'ETAPA OBRA'!G$1&amp;", ","")&amp;
IF(INDEX('ETAPA OBRA'!H:H,MATCH($B67,'ETAPA OBRA'!$B:$B,0))="x",'ETAPA OBRA'!H$1&amp;", ","")&amp;
IF(INDEX('ETAPA OBRA'!I:I,MATCH($B67,'ETAPA OBRA'!$B:$B,0))="x",'ETAPA OBRA'!I$1&amp;", ","")&amp;
IF(INDEX('ETAPA OBRA'!J:J,MATCH($B67,'ETAPA OBRA'!$B:$B,0))="x",'ETAPA OBRA'!J$1&amp;", ","")&amp;
IF(INDEX('ETAPA OBRA'!K:K,MATCH($B67,'ETAPA OBRA'!$B:$B,0))="x",'ETAPA OBRA'!K$1&amp;", ","")&amp;
IF(INDEX('ETAPA OBRA'!L:L,MATCH($B67,'ETAPA OBRA'!$B:$B,0))="x",'ETAPA OBRA'!L$1&amp;", ","")&amp;
IF(INDEX('ETAPA OBRA'!M:M,MATCH($B67,'ETAPA OBRA'!$B:$B,0))="x",'ETAPA OBRA'!M$1&amp;", ","")&amp;
IF(INDEX('ETAPA OBRA'!N:N,MATCH($B67,'ETAPA OBRA'!$B:$B,0))="x",'ETAPA OBRA'!N$1&amp;", ","")&amp;
IF(INDEX('ETAPA OBRA'!O:O,MATCH($B67,'ETAPA OBRA'!$B:$B,0))="x",'ETAPA OBRA'!O$1&amp;", ","")&amp;
IF(INDEX('ETAPA OBRA'!P:P,MATCH($B67,'ETAPA OBRA'!$B:$B,0))="x",'ETAPA OBRA'!P$1&amp;", ","")&amp;
IF(INDEX('ETAPA OBRA'!Q:Q,MATCH($B67,'ETAPA OBRA'!$B:$B,0))="x",'ETAPA OBRA'!Q$1&amp;", ","")&amp;
IF(INDEX('ETAPA OBRA'!R:R,MATCH($B67,'ETAPA OBRA'!$B:$B,0))="x",'ETAPA OBRA'!R$1&amp;", ","")&amp;
IF(INDEX('ETAPA OBRA'!S:S,MATCH($B67,'ETAPA OBRA'!$B:$B,0))="x",'ETAPA OBRA'!S$1&amp;", ","")&amp;
IF(INDEX('ETAPA OBRA'!T:T,MATCH($B67,'ETAPA OBRA'!$B:$B,0))="x",'ETAPA OBRA'!T$1&amp;", ","")&amp;
IF(INDEX('ETAPA OBRA'!U:U,MATCH($B67,'ETAPA OBRA'!$B:$B,0))="x",'ETAPA OBRA'!U$1&amp;", ","")
)-2),"")</f>
        <v>Envio de material, Execução</v>
      </c>
      <c r="N67" s="23" t="str">
        <f t="shared" ca="1" si="9"/>
        <v>Em andamento</v>
      </c>
      <c r="O67" s="28">
        <f>168000+9880</f>
        <v>177880</v>
      </c>
      <c r="P67" s="37">
        <f t="shared" si="10"/>
        <v>57914.720000000001</v>
      </c>
      <c r="Q67" s="28">
        <f t="shared" si="11"/>
        <v>119965.28</v>
      </c>
      <c r="R67" s="29">
        <f t="shared" si="12"/>
        <v>0.67441691027659101</v>
      </c>
      <c r="S67" s="23" t="str">
        <f t="shared" si="13"/>
        <v>✅ OK - Fechar Parceiro</v>
      </c>
      <c r="T67" s="23" t="str">
        <f ca="1">Cronograma[[#This Row],[STATUS]]</f>
        <v>⏰ ATRASADO</v>
      </c>
    </row>
    <row r="68" spans="1:20" ht="15" customHeight="1" x14ac:dyDescent="0.3">
      <c r="A68" s="23" t="s">
        <v>221</v>
      </c>
      <c r="B68" s="23" t="str">
        <f>IF(A68&lt;&gt;"","contel-"&amp;TEXT(COUNTA($A$2:A68),"00"),"")</f>
        <v>contel-67</v>
      </c>
      <c r="C68" s="23" t="s">
        <v>78</v>
      </c>
      <c r="D68" s="23" t="s">
        <v>222</v>
      </c>
      <c r="E68" s="23" t="s">
        <v>61</v>
      </c>
      <c r="F68" s="52" t="s">
        <v>223</v>
      </c>
      <c r="G68" s="23">
        <v>1824</v>
      </c>
      <c r="H68" s="30">
        <v>16691</v>
      </c>
      <c r="I68" s="23" t="s">
        <v>34</v>
      </c>
      <c r="J68" s="25">
        <f>SUM(EQUIPE!C68,EQUIPE!E68,EQUIPE!G68,EQUIPE!I68,EQUIPE!K68,EQUIPE!M68,EQUIPE!O68)</f>
        <v>20000</v>
      </c>
      <c r="K68" s="25">
        <v>0</v>
      </c>
      <c r="L68" s="25">
        <v>285.58999999999997</v>
      </c>
      <c r="M68" s="27" t="str">
        <f>IFERROR(LEFT(
IF(INDEX('ETAPA OBRA'!C:C,MATCH($B68,'ETAPA OBRA'!$B:$B,0))="x",'ETAPA OBRA'!C$1&amp;", ","")&amp;
IF(INDEX('ETAPA OBRA'!D:D,MATCH($B68,'ETAPA OBRA'!$B:$B,0))="x",'ETAPA OBRA'!D$1&amp;", ","")&amp;
IF(INDEX('ETAPA OBRA'!F:F,MATCH($B68,'ETAPA OBRA'!$B:$B,0))="x",'ETAPA OBRA'!F$1&amp;", ","")&amp;
IF(INDEX('ETAPA OBRA'!G:G,MATCH($B68,'ETAPA OBRA'!$B:$B,0))="x",'ETAPA OBRA'!G$1&amp;", ","")&amp;
IF(INDEX('ETAPA OBRA'!H:H,MATCH($B68,'ETAPA OBRA'!$B:$B,0))="x",'ETAPA OBRA'!H$1&amp;", ","")&amp;
IF(INDEX('ETAPA OBRA'!I:I,MATCH($B68,'ETAPA OBRA'!$B:$B,0))="x",'ETAPA OBRA'!I$1&amp;", ","")&amp;
IF(INDEX('ETAPA OBRA'!J:J,MATCH($B68,'ETAPA OBRA'!$B:$B,0))="x",'ETAPA OBRA'!J$1&amp;", ","")&amp;
IF(INDEX('ETAPA OBRA'!K:K,MATCH($B68,'ETAPA OBRA'!$B:$B,0))="x",'ETAPA OBRA'!K$1&amp;", ","")&amp;
IF(INDEX('ETAPA OBRA'!L:L,MATCH($B68,'ETAPA OBRA'!$B:$B,0))="x",'ETAPA OBRA'!L$1&amp;", ","")&amp;
IF(INDEX('ETAPA OBRA'!M:M,MATCH($B68,'ETAPA OBRA'!$B:$B,0))="x",'ETAPA OBRA'!M$1&amp;", ","")&amp;
IF(INDEX('ETAPA OBRA'!N:N,MATCH($B68,'ETAPA OBRA'!$B:$B,0))="x",'ETAPA OBRA'!N$1&amp;", ","")&amp;
IF(INDEX('ETAPA OBRA'!O:O,MATCH($B68,'ETAPA OBRA'!$B:$B,0))="x",'ETAPA OBRA'!O$1&amp;", ","")&amp;
IF(INDEX('ETAPA OBRA'!P:P,MATCH($B68,'ETAPA OBRA'!$B:$B,0))="x",'ETAPA OBRA'!P$1&amp;", ","")&amp;
IF(INDEX('ETAPA OBRA'!Q:Q,MATCH($B68,'ETAPA OBRA'!$B:$B,0))="x",'ETAPA OBRA'!Q$1&amp;", ","")&amp;
IF(INDEX('ETAPA OBRA'!R:R,MATCH($B68,'ETAPA OBRA'!$B:$B,0))="x",'ETAPA OBRA'!R$1&amp;", ","")&amp;
IF(INDEX('ETAPA OBRA'!S:S,MATCH($B68,'ETAPA OBRA'!$B:$B,0))="x",'ETAPA OBRA'!S$1&amp;", ","")&amp;
IF(INDEX('ETAPA OBRA'!T:T,MATCH($B68,'ETAPA OBRA'!$B:$B,0))="x",'ETAPA OBRA'!T$1&amp;", ","")&amp;
IF(INDEX('ETAPA OBRA'!U:U,MATCH($B68,'ETAPA OBRA'!$B:$B,0))="x",'ETAPA OBRA'!U$1&amp;", ",""),LEN(
IF(INDEX('ETAPA OBRA'!C:C,MATCH($B68,'ETAPA OBRA'!$B:$B,0))="x",'ETAPA OBRA'!C$1&amp;", ","")&amp;
IF(INDEX('ETAPA OBRA'!D:D,MATCH($B68,'ETAPA OBRA'!$B:$B,0))="x",'ETAPA OBRA'!D$1&amp;", ","")&amp;
IF(INDEX('ETAPA OBRA'!F:F,MATCH($B68,'ETAPA OBRA'!$B:$B,0))="x",'ETAPA OBRA'!F$1&amp;", ","")&amp;
IF(INDEX('ETAPA OBRA'!G:G,MATCH($B68,'ETAPA OBRA'!$B:$B,0))="x",'ETAPA OBRA'!G$1&amp;", ","")&amp;
IF(INDEX('ETAPA OBRA'!H:H,MATCH($B68,'ETAPA OBRA'!$B:$B,0))="x",'ETAPA OBRA'!H$1&amp;", ","")&amp;
IF(INDEX('ETAPA OBRA'!I:I,MATCH($B68,'ETAPA OBRA'!$B:$B,0))="x",'ETAPA OBRA'!I$1&amp;", ","")&amp;
IF(INDEX('ETAPA OBRA'!J:J,MATCH($B68,'ETAPA OBRA'!$B:$B,0))="x",'ETAPA OBRA'!J$1&amp;", ","")&amp;
IF(INDEX('ETAPA OBRA'!K:K,MATCH($B68,'ETAPA OBRA'!$B:$B,0))="x",'ETAPA OBRA'!K$1&amp;", ","")&amp;
IF(INDEX('ETAPA OBRA'!L:L,MATCH($B68,'ETAPA OBRA'!$B:$B,0))="x",'ETAPA OBRA'!L$1&amp;", ","")&amp;
IF(INDEX('ETAPA OBRA'!M:M,MATCH($B68,'ETAPA OBRA'!$B:$B,0))="x",'ETAPA OBRA'!M$1&amp;", ","")&amp;
IF(INDEX('ETAPA OBRA'!N:N,MATCH($B68,'ETAPA OBRA'!$B:$B,0))="x",'ETAPA OBRA'!N$1&amp;", ","")&amp;
IF(INDEX('ETAPA OBRA'!O:O,MATCH($B68,'ETAPA OBRA'!$B:$B,0))="x",'ETAPA OBRA'!O$1&amp;", ","")&amp;
IF(INDEX('ETAPA OBRA'!P:P,MATCH($B68,'ETAPA OBRA'!$B:$B,0))="x",'ETAPA OBRA'!P$1&amp;", ","")&amp;
IF(INDEX('ETAPA OBRA'!Q:Q,MATCH($B68,'ETAPA OBRA'!$B:$B,0))="x",'ETAPA OBRA'!Q$1&amp;", ","")&amp;
IF(INDEX('ETAPA OBRA'!R:R,MATCH($B68,'ETAPA OBRA'!$B:$B,0))="x",'ETAPA OBRA'!R$1&amp;", ","")&amp;
IF(INDEX('ETAPA OBRA'!S:S,MATCH($B68,'ETAPA OBRA'!$B:$B,0))="x",'ETAPA OBRA'!S$1&amp;", ","")&amp;
IF(INDEX('ETAPA OBRA'!T:T,MATCH($B68,'ETAPA OBRA'!$B:$B,0))="x",'ETAPA OBRA'!T$1&amp;", ","")&amp;
IF(INDEX('ETAPA OBRA'!U:U,MATCH($B68,'ETAPA OBRA'!$B:$B,0))="x",'ETAPA OBRA'!U$1&amp;", ","")
)-2),"")</f>
        <v>Finalizado</v>
      </c>
      <c r="N68" s="23" t="str">
        <f t="shared" si="9"/>
        <v>Finalizado</v>
      </c>
      <c r="O68" s="28">
        <v>39700</v>
      </c>
      <c r="P68" s="37">
        <f t="shared" si="10"/>
        <v>20285.59</v>
      </c>
      <c r="Q68" s="28">
        <f t="shared" si="11"/>
        <v>19414.41</v>
      </c>
      <c r="R68" s="29">
        <f t="shared" si="12"/>
        <v>0.48902795969773299</v>
      </c>
      <c r="S68" s="23" t="str">
        <f t="shared" si="13"/>
        <v>✅ OK - Fechar Parceiro</v>
      </c>
      <c r="T68" s="23" t="str">
        <f>Cronograma[[#This Row],[STATUS]]</f>
        <v>✅ CONCLUÍDO</v>
      </c>
    </row>
    <row r="69" spans="1:20" ht="15" customHeight="1" x14ac:dyDescent="0.3">
      <c r="A69" s="23" t="s">
        <v>224</v>
      </c>
      <c r="B69" s="23" t="str">
        <f>IF(A69&lt;&gt;"","contel-"&amp;TEXT(COUNTA($A$2:A69),"00"),"")</f>
        <v>contel-68</v>
      </c>
      <c r="C69" s="23" t="s">
        <v>78</v>
      </c>
      <c r="D69" s="23" t="s">
        <v>225</v>
      </c>
      <c r="E69" s="23" t="s">
        <v>75</v>
      </c>
      <c r="F69" s="52" t="s">
        <v>226</v>
      </c>
      <c r="G69" s="23">
        <v>1818</v>
      </c>
      <c r="H69" s="30">
        <v>16693</v>
      </c>
      <c r="I69" s="23" t="s">
        <v>34</v>
      </c>
      <c r="J69" s="25">
        <f>SUM(EQUIPE!C69,EQUIPE!E69,EQUIPE!G69,EQUIPE!I69,EQUIPE!K69,EQUIPE!M69,EQUIPE!O69)</f>
        <v>20000</v>
      </c>
      <c r="K69" s="25">
        <v>0</v>
      </c>
      <c r="L69" s="25">
        <v>3055.59</v>
      </c>
      <c r="M69" s="27" t="str">
        <f>IFERROR(LEFT(
IF(INDEX('ETAPA OBRA'!C:C,MATCH($B69,'ETAPA OBRA'!$B:$B,0))="x",'ETAPA OBRA'!C$1&amp;", ","")&amp;
IF(INDEX('ETAPA OBRA'!D:D,MATCH($B69,'ETAPA OBRA'!$B:$B,0))="x",'ETAPA OBRA'!D$1&amp;", ","")&amp;
IF(INDEX('ETAPA OBRA'!F:F,MATCH($B69,'ETAPA OBRA'!$B:$B,0))="x",'ETAPA OBRA'!F$1&amp;", ","")&amp;
IF(INDEX('ETAPA OBRA'!G:G,MATCH($B69,'ETAPA OBRA'!$B:$B,0))="x",'ETAPA OBRA'!G$1&amp;", ","")&amp;
IF(INDEX('ETAPA OBRA'!H:H,MATCH($B69,'ETAPA OBRA'!$B:$B,0))="x",'ETAPA OBRA'!H$1&amp;", ","")&amp;
IF(INDEX('ETAPA OBRA'!I:I,MATCH($B69,'ETAPA OBRA'!$B:$B,0))="x",'ETAPA OBRA'!I$1&amp;", ","")&amp;
IF(INDEX('ETAPA OBRA'!J:J,MATCH($B69,'ETAPA OBRA'!$B:$B,0))="x",'ETAPA OBRA'!J$1&amp;", ","")&amp;
IF(INDEX('ETAPA OBRA'!K:K,MATCH($B69,'ETAPA OBRA'!$B:$B,0))="x",'ETAPA OBRA'!K$1&amp;", ","")&amp;
IF(INDEX('ETAPA OBRA'!L:L,MATCH($B69,'ETAPA OBRA'!$B:$B,0))="x",'ETAPA OBRA'!L$1&amp;", ","")&amp;
IF(INDEX('ETAPA OBRA'!M:M,MATCH($B69,'ETAPA OBRA'!$B:$B,0))="x",'ETAPA OBRA'!M$1&amp;", ","")&amp;
IF(INDEX('ETAPA OBRA'!N:N,MATCH($B69,'ETAPA OBRA'!$B:$B,0))="x",'ETAPA OBRA'!N$1&amp;", ","")&amp;
IF(INDEX('ETAPA OBRA'!O:O,MATCH($B69,'ETAPA OBRA'!$B:$B,0))="x",'ETAPA OBRA'!O$1&amp;", ","")&amp;
IF(INDEX('ETAPA OBRA'!P:P,MATCH($B69,'ETAPA OBRA'!$B:$B,0))="x",'ETAPA OBRA'!P$1&amp;", ","")&amp;
IF(INDEX('ETAPA OBRA'!Q:Q,MATCH($B69,'ETAPA OBRA'!$B:$B,0))="x",'ETAPA OBRA'!Q$1&amp;", ","")&amp;
IF(INDEX('ETAPA OBRA'!R:R,MATCH($B69,'ETAPA OBRA'!$B:$B,0))="x",'ETAPA OBRA'!R$1&amp;", ","")&amp;
IF(INDEX('ETAPA OBRA'!S:S,MATCH($B69,'ETAPA OBRA'!$B:$B,0))="x",'ETAPA OBRA'!S$1&amp;", ","")&amp;
IF(INDEX('ETAPA OBRA'!T:T,MATCH($B69,'ETAPA OBRA'!$B:$B,0))="x",'ETAPA OBRA'!T$1&amp;", ","")&amp;
IF(INDEX('ETAPA OBRA'!U:U,MATCH($B69,'ETAPA OBRA'!$B:$B,0))="x",'ETAPA OBRA'!U$1&amp;", ",""),LEN(
IF(INDEX('ETAPA OBRA'!C:C,MATCH($B69,'ETAPA OBRA'!$B:$B,0))="x",'ETAPA OBRA'!C$1&amp;", ","")&amp;
IF(INDEX('ETAPA OBRA'!D:D,MATCH($B69,'ETAPA OBRA'!$B:$B,0))="x",'ETAPA OBRA'!D$1&amp;", ","")&amp;
IF(INDEX('ETAPA OBRA'!F:F,MATCH($B69,'ETAPA OBRA'!$B:$B,0))="x",'ETAPA OBRA'!F$1&amp;", ","")&amp;
IF(INDEX('ETAPA OBRA'!G:G,MATCH($B69,'ETAPA OBRA'!$B:$B,0))="x",'ETAPA OBRA'!G$1&amp;", ","")&amp;
IF(INDEX('ETAPA OBRA'!H:H,MATCH($B69,'ETAPA OBRA'!$B:$B,0))="x",'ETAPA OBRA'!H$1&amp;", ","")&amp;
IF(INDEX('ETAPA OBRA'!I:I,MATCH($B69,'ETAPA OBRA'!$B:$B,0))="x",'ETAPA OBRA'!I$1&amp;", ","")&amp;
IF(INDEX('ETAPA OBRA'!J:J,MATCH($B69,'ETAPA OBRA'!$B:$B,0))="x",'ETAPA OBRA'!J$1&amp;", ","")&amp;
IF(INDEX('ETAPA OBRA'!K:K,MATCH($B69,'ETAPA OBRA'!$B:$B,0))="x",'ETAPA OBRA'!K$1&amp;", ","")&amp;
IF(INDEX('ETAPA OBRA'!L:L,MATCH($B69,'ETAPA OBRA'!$B:$B,0))="x",'ETAPA OBRA'!L$1&amp;", ","")&amp;
IF(INDEX('ETAPA OBRA'!M:M,MATCH($B69,'ETAPA OBRA'!$B:$B,0))="x",'ETAPA OBRA'!M$1&amp;", ","")&amp;
IF(INDEX('ETAPA OBRA'!N:N,MATCH($B69,'ETAPA OBRA'!$B:$B,0))="x",'ETAPA OBRA'!N$1&amp;", ","")&amp;
IF(INDEX('ETAPA OBRA'!O:O,MATCH($B69,'ETAPA OBRA'!$B:$B,0))="x",'ETAPA OBRA'!O$1&amp;", ","")&amp;
IF(INDEX('ETAPA OBRA'!P:P,MATCH($B69,'ETAPA OBRA'!$B:$B,0))="x",'ETAPA OBRA'!P$1&amp;", ","")&amp;
IF(INDEX('ETAPA OBRA'!Q:Q,MATCH($B69,'ETAPA OBRA'!$B:$B,0))="x",'ETAPA OBRA'!Q$1&amp;", ","")&amp;
IF(INDEX('ETAPA OBRA'!R:R,MATCH($B69,'ETAPA OBRA'!$B:$B,0))="x",'ETAPA OBRA'!R$1&amp;", ","")&amp;
IF(INDEX('ETAPA OBRA'!S:S,MATCH($B69,'ETAPA OBRA'!$B:$B,0))="x",'ETAPA OBRA'!S$1&amp;", ","")&amp;
IF(INDEX('ETAPA OBRA'!T:T,MATCH($B69,'ETAPA OBRA'!$B:$B,0))="x",'ETAPA OBRA'!T$1&amp;", ","")&amp;
IF(INDEX('ETAPA OBRA'!U:U,MATCH($B69,'ETAPA OBRA'!$B:$B,0))="x",'ETAPA OBRA'!U$1&amp;", ","")
)-2),"")</f>
        <v>Finalizado</v>
      </c>
      <c r="N69" s="23" t="str">
        <f t="shared" si="9"/>
        <v>Finalizado</v>
      </c>
      <c r="O69" s="28">
        <v>39700</v>
      </c>
      <c r="P69" s="37">
        <f t="shared" si="10"/>
        <v>23055.59</v>
      </c>
      <c r="Q69" s="28">
        <f t="shared" si="11"/>
        <v>16644.41</v>
      </c>
      <c r="R69" s="29">
        <f t="shared" si="12"/>
        <v>0.41925465994962219</v>
      </c>
      <c r="S69" s="23" t="str">
        <f t="shared" si="13"/>
        <v>✅ OK - Fechar Parceiro</v>
      </c>
      <c r="T69" s="23" t="str">
        <f>Cronograma[[#This Row],[STATUS]]</f>
        <v>✅ CONCLUÍDO</v>
      </c>
    </row>
    <row r="70" spans="1:20" ht="15" customHeight="1" x14ac:dyDescent="0.3">
      <c r="A70" s="23" t="s">
        <v>227</v>
      </c>
      <c r="B70" s="23" t="str">
        <f>IF(A70&lt;&gt;"","contel-"&amp;TEXT(COUNTA($A$2:A70),"00"),"")</f>
        <v>contel-69</v>
      </c>
      <c r="C70" s="23" t="s">
        <v>78</v>
      </c>
      <c r="D70" s="23" t="s">
        <v>228</v>
      </c>
      <c r="E70" s="23" t="s">
        <v>75</v>
      </c>
      <c r="F70" s="52" t="s">
        <v>229</v>
      </c>
      <c r="G70" s="23">
        <v>1826</v>
      </c>
      <c r="H70" s="30">
        <v>16692</v>
      </c>
      <c r="I70" s="23" t="s">
        <v>63</v>
      </c>
      <c r="J70" s="25">
        <f>SUM(EQUIPE!C70,EQUIPE!E70,EQUIPE!G70,EQUIPE!I70,EQUIPE!K70,EQUIPE!M70,EQUIPE!O70)</f>
        <v>22000</v>
      </c>
      <c r="K70" s="25">
        <v>0</v>
      </c>
      <c r="L70" s="25">
        <v>285.58999999999997</v>
      </c>
      <c r="M70" s="27" t="str">
        <f>IFERROR(LEFT(
IF(INDEX('ETAPA OBRA'!C:C,MATCH($B70,'ETAPA OBRA'!$B:$B,0))="x",'ETAPA OBRA'!C$1&amp;", ","")&amp;
IF(INDEX('ETAPA OBRA'!D:D,MATCH($B70,'ETAPA OBRA'!$B:$B,0))="x",'ETAPA OBRA'!D$1&amp;", ","")&amp;
IF(INDEX('ETAPA OBRA'!F:F,MATCH($B70,'ETAPA OBRA'!$B:$B,0))="x",'ETAPA OBRA'!F$1&amp;", ","")&amp;
IF(INDEX('ETAPA OBRA'!G:G,MATCH($B70,'ETAPA OBRA'!$B:$B,0))="x",'ETAPA OBRA'!G$1&amp;", ","")&amp;
IF(INDEX('ETAPA OBRA'!H:H,MATCH($B70,'ETAPA OBRA'!$B:$B,0))="x",'ETAPA OBRA'!H$1&amp;", ","")&amp;
IF(INDEX('ETAPA OBRA'!I:I,MATCH($B70,'ETAPA OBRA'!$B:$B,0))="x",'ETAPA OBRA'!I$1&amp;", ","")&amp;
IF(INDEX('ETAPA OBRA'!J:J,MATCH($B70,'ETAPA OBRA'!$B:$B,0))="x",'ETAPA OBRA'!J$1&amp;", ","")&amp;
IF(INDEX('ETAPA OBRA'!K:K,MATCH($B70,'ETAPA OBRA'!$B:$B,0))="x",'ETAPA OBRA'!K$1&amp;", ","")&amp;
IF(INDEX('ETAPA OBRA'!L:L,MATCH($B70,'ETAPA OBRA'!$B:$B,0))="x",'ETAPA OBRA'!L$1&amp;", ","")&amp;
IF(INDEX('ETAPA OBRA'!M:M,MATCH($B70,'ETAPA OBRA'!$B:$B,0))="x",'ETAPA OBRA'!M$1&amp;", ","")&amp;
IF(INDEX('ETAPA OBRA'!N:N,MATCH($B70,'ETAPA OBRA'!$B:$B,0))="x",'ETAPA OBRA'!N$1&amp;", ","")&amp;
IF(INDEX('ETAPA OBRA'!O:O,MATCH($B70,'ETAPA OBRA'!$B:$B,0))="x",'ETAPA OBRA'!O$1&amp;", ","")&amp;
IF(INDEX('ETAPA OBRA'!P:P,MATCH($B70,'ETAPA OBRA'!$B:$B,0))="x",'ETAPA OBRA'!P$1&amp;", ","")&amp;
IF(INDEX('ETAPA OBRA'!Q:Q,MATCH($B70,'ETAPA OBRA'!$B:$B,0))="x",'ETAPA OBRA'!Q$1&amp;", ","")&amp;
IF(INDEX('ETAPA OBRA'!R:R,MATCH($B70,'ETAPA OBRA'!$B:$B,0))="x",'ETAPA OBRA'!R$1&amp;", ","")&amp;
IF(INDEX('ETAPA OBRA'!S:S,MATCH($B70,'ETAPA OBRA'!$B:$B,0))="x",'ETAPA OBRA'!S$1&amp;", ","")&amp;
IF(INDEX('ETAPA OBRA'!T:T,MATCH($B70,'ETAPA OBRA'!$B:$B,0))="x",'ETAPA OBRA'!T$1&amp;", ","")&amp;
IF(INDEX('ETAPA OBRA'!U:U,MATCH($B70,'ETAPA OBRA'!$B:$B,0))="x",'ETAPA OBRA'!U$1&amp;", ",""),LEN(
IF(INDEX('ETAPA OBRA'!C:C,MATCH($B70,'ETAPA OBRA'!$B:$B,0))="x",'ETAPA OBRA'!C$1&amp;", ","")&amp;
IF(INDEX('ETAPA OBRA'!D:D,MATCH($B70,'ETAPA OBRA'!$B:$B,0))="x",'ETAPA OBRA'!D$1&amp;", ","")&amp;
IF(INDEX('ETAPA OBRA'!F:F,MATCH($B70,'ETAPA OBRA'!$B:$B,0))="x",'ETAPA OBRA'!F$1&amp;", ","")&amp;
IF(INDEX('ETAPA OBRA'!G:G,MATCH($B70,'ETAPA OBRA'!$B:$B,0))="x",'ETAPA OBRA'!G$1&amp;", ","")&amp;
IF(INDEX('ETAPA OBRA'!H:H,MATCH($B70,'ETAPA OBRA'!$B:$B,0))="x",'ETAPA OBRA'!H$1&amp;", ","")&amp;
IF(INDEX('ETAPA OBRA'!I:I,MATCH($B70,'ETAPA OBRA'!$B:$B,0))="x",'ETAPA OBRA'!I$1&amp;", ","")&amp;
IF(INDEX('ETAPA OBRA'!J:J,MATCH($B70,'ETAPA OBRA'!$B:$B,0))="x",'ETAPA OBRA'!J$1&amp;", ","")&amp;
IF(INDEX('ETAPA OBRA'!K:K,MATCH($B70,'ETAPA OBRA'!$B:$B,0))="x",'ETAPA OBRA'!K$1&amp;", ","")&amp;
IF(INDEX('ETAPA OBRA'!L:L,MATCH($B70,'ETAPA OBRA'!$B:$B,0))="x",'ETAPA OBRA'!L$1&amp;", ","")&amp;
IF(INDEX('ETAPA OBRA'!M:M,MATCH($B70,'ETAPA OBRA'!$B:$B,0))="x",'ETAPA OBRA'!M$1&amp;", ","")&amp;
IF(INDEX('ETAPA OBRA'!N:N,MATCH($B70,'ETAPA OBRA'!$B:$B,0))="x",'ETAPA OBRA'!N$1&amp;", ","")&amp;
IF(INDEX('ETAPA OBRA'!O:O,MATCH($B70,'ETAPA OBRA'!$B:$B,0))="x",'ETAPA OBRA'!O$1&amp;", ","")&amp;
IF(INDEX('ETAPA OBRA'!P:P,MATCH($B70,'ETAPA OBRA'!$B:$B,0))="x",'ETAPA OBRA'!P$1&amp;", ","")&amp;
IF(INDEX('ETAPA OBRA'!Q:Q,MATCH($B70,'ETAPA OBRA'!$B:$B,0))="x",'ETAPA OBRA'!Q$1&amp;", ","")&amp;
IF(INDEX('ETAPA OBRA'!R:R,MATCH($B70,'ETAPA OBRA'!$B:$B,0))="x",'ETAPA OBRA'!R$1&amp;", ","")&amp;
IF(INDEX('ETAPA OBRA'!S:S,MATCH($B70,'ETAPA OBRA'!$B:$B,0))="x",'ETAPA OBRA'!S$1&amp;", ","")&amp;
IF(INDEX('ETAPA OBRA'!T:T,MATCH($B70,'ETAPA OBRA'!$B:$B,0))="x",'ETAPA OBRA'!T$1&amp;", ","")&amp;
IF(INDEX('ETAPA OBRA'!U:U,MATCH($B70,'ETAPA OBRA'!$B:$B,0))="x",'ETAPA OBRA'!U$1&amp;", ","")
)-2),"")</f>
        <v>Finalizado</v>
      </c>
      <c r="N70" s="23" t="str">
        <f t="shared" si="9"/>
        <v>Finalizado</v>
      </c>
      <c r="O70" s="28">
        <v>44580</v>
      </c>
      <c r="P70" s="37">
        <f t="shared" si="10"/>
        <v>22285.59</v>
      </c>
      <c r="Q70" s="28">
        <f t="shared" si="11"/>
        <v>22294.41</v>
      </c>
      <c r="R70" s="29">
        <f t="shared" si="12"/>
        <v>0.50009892328398386</v>
      </c>
      <c r="S70" s="23" t="str">
        <f t="shared" si="13"/>
        <v>✅ OK - Fechar Parceiro</v>
      </c>
      <c r="T70" s="23" t="str">
        <f>Cronograma[[#This Row],[STATUS]]</f>
        <v>✅ CONCLUÍDO</v>
      </c>
    </row>
    <row r="71" spans="1:20" ht="15" customHeight="1" x14ac:dyDescent="0.3">
      <c r="A71" s="23" t="s">
        <v>230</v>
      </c>
      <c r="B71" s="23" t="str">
        <f>IF(A71&lt;&gt;"","contel-"&amp;TEXT(COUNTA($A$2:A71),"00"),"")</f>
        <v>contel-70</v>
      </c>
      <c r="C71" s="23" t="s">
        <v>78</v>
      </c>
      <c r="D71" s="23" t="s">
        <v>231</v>
      </c>
      <c r="E71" s="23" t="s">
        <v>192</v>
      </c>
      <c r="F71" s="52" t="s">
        <v>232</v>
      </c>
      <c r="G71" s="23">
        <v>1825</v>
      </c>
      <c r="H71" s="30">
        <v>16694</v>
      </c>
      <c r="I71" s="23" t="s">
        <v>25</v>
      </c>
      <c r="J71" s="25">
        <f>SUM(EQUIPE!C71,EQUIPE!E71,EQUIPE!G71,EQUIPE!I71,EQUIPE!K71,EQUIPE!M71,EQUIPE!O71)</f>
        <v>21000</v>
      </c>
      <c r="K71" s="25">
        <v>0</v>
      </c>
      <c r="L71" s="25">
        <v>285.58999999999997</v>
      </c>
      <c r="M71" s="27" t="str">
        <f>IFERROR(LEFT(
IF(INDEX('ETAPA OBRA'!C:C,MATCH($B71,'ETAPA OBRA'!$B:$B,0))="x",'ETAPA OBRA'!C$1&amp;", ","")&amp;
IF(INDEX('ETAPA OBRA'!D:D,MATCH($B71,'ETAPA OBRA'!$B:$B,0))="x",'ETAPA OBRA'!D$1&amp;", ","")&amp;
IF(INDEX('ETAPA OBRA'!F:F,MATCH($B71,'ETAPA OBRA'!$B:$B,0))="x",'ETAPA OBRA'!F$1&amp;", ","")&amp;
IF(INDEX('ETAPA OBRA'!G:G,MATCH($B71,'ETAPA OBRA'!$B:$B,0))="x",'ETAPA OBRA'!G$1&amp;", ","")&amp;
IF(INDEX('ETAPA OBRA'!H:H,MATCH($B71,'ETAPA OBRA'!$B:$B,0))="x",'ETAPA OBRA'!H$1&amp;", ","")&amp;
IF(INDEX('ETAPA OBRA'!I:I,MATCH($B71,'ETAPA OBRA'!$B:$B,0))="x",'ETAPA OBRA'!I$1&amp;", ","")&amp;
IF(INDEX('ETAPA OBRA'!J:J,MATCH($B71,'ETAPA OBRA'!$B:$B,0))="x",'ETAPA OBRA'!J$1&amp;", ","")&amp;
IF(INDEX('ETAPA OBRA'!K:K,MATCH($B71,'ETAPA OBRA'!$B:$B,0))="x",'ETAPA OBRA'!K$1&amp;", ","")&amp;
IF(INDEX('ETAPA OBRA'!L:L,MATCH($B71,'ETAPA OBRA'!$B:$B,0))="x",'ETAPA OBRA'!L$1&amp;", ","")&amp;
IF(INDEX('ETAPA OBRA'!M:M,MATCH($B71,'ETAPA OBRA'!$B:$B,0))="x",'ETAPA OBRA'!M$1&amp;", ","")&amp;
IF(INDEX('ETAPA OBRA'!N:N,MATCH($B71,'ETAPA OBRA'!$B:$B,0))="x",'ETAPA OBRA'!N$1&amp;", ","")&amp;
IF(INDEX('ETAPA OBRA'!O:O,MATCH($B71,'ETAPA OBRA'!$B:$B,0))="x",'ETAPA OBRA'!O$1&amp;", ","")&amp;
IF(INDEX('ETAPA OBRA'!P:P,MATCH($B71,'ETAPA OBRA'!$B:$B,0))="x",'ETAPA OBRA'!P$1&amp;", ","")&amp;
IF(INDEX('ETAPA OBRA'!Q:Q,MATCH($B71,'ETAPA OBRA'!$B:$B,0))="x",'ETAPA OBRA'!Q$1&amp;", ","")&amp;
IF(INDEX('ETAPA OBRA'!R:R,MATCH($B71,'ETAPA OBRA'!$B:$B,0))="x",'ETAPA OBRA'!R$1&amp;", ","")&amp;
IF(INDEX('ETAPA OBRA'!S:S,MATCH($B71,'ETAPA OBRA'!$B:$B,0))="x",'ETAPA OBRA'!S$1&amp;", ","")&amp;
IF(INDEX('ETAPA OBRA'!T:T,MATCH($B71,'ETAPA OBRA'!$B:$B,0))="x",'ETAPA OBRA'!T$1&amp;", ","")&amp;
IF(INDEX('ETAPA OBRA'!U:U,MATCH($B71,'ETAPA OBRA'!$B:$B,0))="x",'ETAPA OBRA'!U$1&amp;", ",""),LEN(
IF(INDEX('ETAPA OBRA'!C:C,MATCH($B71,'ETAPA OBRA'!$B:$B,0))="x",'ETAPA OBRA'!C$1&amp;", ","")&amp;
IF(INDEX('ETAPA OBRA'!D:D,MATCH($B71,'ETAPA OBRA'!$B:$B,0))="x",'ETAPA OBRA'!D$1&amp;", ","")&amp;
IF(INDEX('ETAPA OBRA'!F:F,MATCH($B71,'ETAPA OBRA'!$B:$B,0))="x",'ETAPA OBRA'!F$1&amp;", ","")&amp;
IF(INDEX('ETAPA OBRA'!G:G,MATCH($B71,'ETAPA OBRA'!$B:$B,0))="x",'ETAPA OBRA'!G$1&amp;", ","")&amp;
IF(INDEX('ETAPA OBRA'!H:H,MATCH($B71,'ETAPA OBRA'!$B:$B,0))="x",'ETAPA OBRA'!H$1&amp;", ","")&amp;
IF(INDEX('ETAPA OBRA'!I:I,MATCH($B71,'ETAPA OBRA'!$B:$B,0))="x",'ETAPA OBRA'!I$1&amp;", ","")&amp;
IF(INDEX('ETAPA OBRA'!J:J,MATCH($B71,'ETAPA OBRA'!$B:$B,0))="x",'ETAPA OBRA'!J$1&amp;", ","")&amp;
IF(INDEX('ETAPA OBRA'!K:K,MATCH($B71,'ETAPA OBRA'!$B:$B,0))="x",'ETAPA OBRA'!K$1&amp;", ","")&amp;
IF(INDEX('ETAPA OBRA'!L:L,MATCH($B71,'ETAPA OBRA'!$B:$B,0))="x",'ETAPA OBRA'!L$1&amp;", ","")&amp;
IF(INDEX('ETAPA OBRA'!M:M,MATCH($B71,'ETAPA OBRA'!$B:$B,0))="x",'ETAPA OBRA'!M$1&amp;", ","")&amp;
IF(INDEX('ETAPA OBRA'!N:N,MATCH($B71,'ETAPA OBRA'!$B:$B,0))="x",'ETAPA OBRA'!N$1&amp;", ","")&amp;
IF(INDEX('ETAPA OBRA'!O:O,MATCH($B71,'ETAPA OBRA'!$B:$B,0))="x",'ETAPA OBRA'!O$1&amp;", ","")&amp;
IF(INDEX('ETAPA OBRA'!P:P,MATCH($B71,'ETAPA OBRA'!$B:$B,0))="x",'ETAPA OBRA'!P$1&amp;", ","")&amp;
IF(INDEX('ETAPA OBRA'!Q:Q,MATCH($B71,'ETAPA OBRA'!$B:$B,0))="x",'ETAPA OBRA'!Q$1&amp;", ","")&amp;
IF(INDEX('ETAPA OBRA'!R:R,MATCH($B71,'ETAPA OBRA'!$B:$B,0))="x",'ETAPA OBRA'!R$1&amp;", ","")&amp;
IF(INDEX('ETAPA OBRA'!S:S,MATCH($B71,'ETAPA OBRA'!$B:$B,0))="x",'ETAPA OBRA'!S$1&amp;", ","")&amp;
IF(INDEX('ETAPA OBRA'!T:T,MATCH($B71,'ETAPA OBRA'!$B:$B,0))="x",'ETAPA OBRA'!T$1&amp;", ","")&amp;
IF(INDEX('ETAPA OBRA'!U:U,MATCH($B71,'ETAPA OBRA'!$B:$B,0))="x",'ETAPA OBRA'!U$1&amp;", ","")
)-2),"")</f>
        <v>Finalizado</v>
      </c>
      <c r="N71" s="23" t="str">
        <f t="shared" si="9"/>
        <v>Finalizado</v>
      </c>
      <c r="O71" s="28">
        <v>45655</v>
      </c>
      <c r="P71" s="37">
        <f t="shared" si="10"/>
        <v>21285.59</v>
      </c>
      <c r="Q71" s="28">
        <f t="shared" si="11"/>
        <v>24369.41</v>
      </c>
      <c r="R71" s="29">
        <f t="shared" si="12"/>
        <v>0.53377308071405105</v>
      </c>
      <c r="S71" s="23" t="str">
        <f t="shared" si="13"/>
        <v>✅ OK - Fechar Parceiro</v>
      </c>
      <c r="T71" s="23" t="str">
        <f>Cronograma[[#This Row],[STATUS]]</f>
        <v>✅ CONCLUÍDO</v>
      </c>
    </row>
    <row r="72" spans="1:20" ht="15" customHeight="1" x14ac:dyDescent="0.3">
      <c r="A72" s="23" t="s">
        <v>233</v>
      </c>
      <c r="B72" s="23" t="str">
        <f>IF(A72&lt;&gt;"","contel-"&amp;TEXT(COUNTA($A$2:A72),"00"),"")</f>
        <v>contel-71</v>
      </c>
      <c r="C72" s="23" t="s">
        <v>78</v>
      </c>
      <c r="D72" s="23" t="s">
        <v>234</v>
      </c>
      <c r="E72" s="23" t="s">
        <v>192</v>
      </c>
      <c r="F72" s="52" t="s">
        <v>235</v>
      </c>
      <c r="G72" s="23">
        <v>1850</v>
      </c>
      <c r="H72" s="30">
        <v>16717</v>
      </c>
      <c r="I72" s="23" t="s">
        <v>25</v>
      </c>
      <c r="J72" s="25">
        <f>SUM(EQUIPE!C72,EQUIPE!E72,EQUIPE!G72,EQUIPE!I72,EQUIPE!K72,EQUIPE!M72,EQUIPE!O72)</f>
        <v>5660</v>
      </c>
      <c r="K72" s="25">
        <v>3600</v>
      </c>
      <c r="L72" s="25">
        <v>385.59</v>
      </c>
      <c r="M72" s="27" t="str">
        <f>IFERROR(LEFT(
IF(INDEX('ETAPA OBRA'!C:C,MATCH($B72,'ETAPA OBRA'!$B:$B,0))="x",'ETAPA OBRA'!C$1&amp;", ","")&amp;
IF(INDEX('ETAPA OBRA'!D:D,MATCH($B72,'ETAPA OBRA'!$B:$B,0))="x",'ETAPA OBRA'!D$1&amp;", ","")&amp;
IF(INDEX('ETAPA OBRA'!F:F,MATCH($B72,'ETAPA OBRA'!$B:$B,0))="x",'ETAPA OBRA'!F$1&amp;", ","")&amp;
IF(INDEX('ETAPA OBRA'!G:G,MATCH($B72,'ETAPA OBRA'!$B:$B,0))="x",'ETAPA OBRA'!G$1&amp;", ","")&amp;
IF(INDEX('ETAPA OBRA'!H:H,MATCH($B72,'ETAPA OBRA'!$B:$B,0))="x",'ETAPA OBRA'!H$1&amp;", ","")&amp;
IF(INDEX('ETAPA OBRA'!I:I,MATCH($B72,'ETAPA OBRA'!$B:$B,0))="x",'ETAPA OBRA'!I$1&amp;", ","")&amp;
IF(INDEX('ETAPA OBRA'!J:J,MATCH($B72,'ETAPA OBRA'!$B:$B,0))="x",'ETAPA OBRA'!J$1&amp;", ","")&amp;
IF(INDEX('ETAPA OBRA'!K:K,MATCH($B72,'ETAPA OBRA'!$B:$B,0))="x",'ETAPA OBRA'!K$1&amp;", ","")&amp;
IF(INDEX('ETAPA OBRA'!L:L,MATCH($B72,'ETAPA OBRA'!$B:$B,0))="x",'ETAPA OBRA'!L$1&amp;", ","")&amp;
IF(INDEX('ETAPA OBRA'!M:M,MATCH($B72,'ETAPA OBRA'!$B:$B,0))="x",'ETAPA OBRA'!M$1&amp;", ","")&amp;
IF(INDEX('ETAPA OBRA'!N:N,MATCH($B72,'ETAPA OBRA'!$B:$B,0))="x",'ETAPA OBRA'!N$1&amp;", ","")&amp;
IF(INDEX('ETAPA OBRA'!O:O,MATCH($B72,'ETAPA OBRA'!$B:$B,0))="x",'ETAPA OBRA'!O$1&amp;", ","")&amp;
IF(INDEX('ETAPA OBRA'!P:P,MATCH($B72,'ETAPA OBRA'!$B:$B,0))="x",'ETAPA OBRA'!P$1&amp;", ","")&amp;
IF(INDEX('ETAPA OBRA'!Q:Q,MATCH($B72,'ETAPA OBRA'!$B:$B,0))="x",'ETAPA OBRA'!Q$1&amp;", ","")&amp;
IF(INDEX('ETAPA OBRA'!R:R,MATCH($B72,'ETAPA OBRA'!$B:$B,0))="x",'ETAPA OBRA'!R$1&amp;", ","")&amp;
IF(INDEX('ETAPA OBRA'!S:S,MATCH($B72,'ETAPA OBRA'!$B:$B,0))="x",'ETAPA OBRA'!S$1&amp;", ","")&amp;
IF(INDEX('ETAPA OBRA'!T:T,MATCH($B72,'ETAPA OBRA'!$B:$B,0))="x",'ETAPA OBRA'!T$1&amp;", ","")&amp;
IF(INDEX('ETAPA OBRA'!U:U,MATCH($B72,'ETAPA OBRA'!$B:$B,0))="x",'ETAPA OBRA'!U$1&amp;", ",""),LEN(
IF(INDEX('ETAPA OBRA'!C:C,MATCH($B72,'ETAPA OBRA'!$B:$B,0))="x",'ETAPA OBRA'!C$1&amp;", ","")&amp;
IF(INDEX('ETAPA OBRA'!D:D,MATCH($B72,'ETAPA OBRA'!$B:$B,0))="x",'ETAPA OBRA'!D$1&amp;", ","")&amp;
IF(INDEX('ETAPA OBRA'!F:F,MATCH($B72,'ETAPA OBRA'!$B:$B,0))="x",'ETAPA OBRA'!F$1&amp;", ","")&amp;
IF(INDEX('ETAPA OBRA'!G:G,MATCH($B72,'ETAPA OBRA'!$B:$B,0))="x",'ETAPA OBRA'!G$1&amp;", ","")&amp;
IF(INDEX('ETAPA OBRA'!H:H,MATCH($B72,'ETAPA OBRA'!$B:$B,0))="x",'ETAPA OBRA'!H$1&amp;", ","")&amp;
IF(INDEX('ETAPA OBRA'!I:I,MATCH($B72,'ETAPA OBRA'!$B:$B,0))="x",'ETAPA OBRA'!I$1&amp;", ","")&amp;
IF(INDEX('ETAPA OBRA'!J:J,MATCH($B72,'ETAPA OBRA'!$B:$B,0))="x",'ETAPA OBRA'!J$1&amp;", ","")&amp;
IF(INDEX('ETAPA OBRA'!K:K,MATCH($B72,'ETAPA OBRA'!$B:$B,0))="x",'ETAPA OBRA'!K$1&amp;", ","")&amp;
IF(INDEX('ETAPA OBRA'!L:L,MATCH($B72,'ETAPA OBRA'!$B:$B,0))="x",'ETAPA OBRA'!L$1&amp;", ","")&amp;
IF(INDEX('ETAPA OBRA'!M:M,MATCH($B72,'ETAPA OBRA'!$B:$B,0))="x",'ETAPA OBRA'!M$1&amp;", ","")&amp;
IF(INDEX('ETAPA OBRA'!N:N,MATCH($B72,'ETAPA OBRA'!$B:$B,0))="x",'ETAPA OBRA'!N$1&amp;", ","")&amp;
IF(INDEX('ETAPA OBRA'!O:O,MATCH($B72,'ETAPA OBRA'!$B:$B,0))="x",'ETAPA OBRA'!O$1&amp;", ","")&amp;
IF(INDEX('ETAPA OBRA'!P:P,MATCH($B72,'ETAPA OBRA'!$B:$B,0))="x",'ETAPA OBRA'!P$1&amp;", ","")&amp;
IF(INDEX('ETAPA OBRA'!Q:Q,MATCH($B72,'ETAPA OBRA'!$B:$B,0))="x",'ETAPA OBRA'!Q$1&amp;", ","")&amp;
IF(INDEX('ETAPA OBRA'!R:R,MATCH($B72,'ETAPA OBRA'!$B:$B,0))="x",'ETAPA OBRA'!R$1&amp;", ","")&amp;
IF(INDEX('ETAPA OBRA'!S:S,MATCH($B72,'ETAPA OBRA'!$B:$B,0))="x",'ETAPA OBRA'!S$1&amp;", ","")&amp;
IF(INDEX('ETAPA OBRA'!T:T,MATCH($B72,'ETAPA OBRA'!$B:$B,0))="x",'ETAPA OBRA'!T$1&amp;", ","")&amp;
IF(INDEX('ETAPA OBRA'!U:U,MATCH($B72,'ETAPA OBRA'!$B:$B,0))="x",'ETAPA OBRA'!U$1&amp;", ","")
)-2),"")</f>
        <v>Finalizado</v>
      </c>
      <c r="N72" s="23" t="str">
        <f t="shared" si="9"/>
        <v>Finalizado</v>
      </c>
      <c r="O72" s="28">
        <v>22935</v>
      </c>
      <c r="P72" s="37">
        <f t="shared" si="10"/>
        <v>9645.59</v>
      </c>
      <c r="Q72" s="28">
        <f t="shared" si="11"/>
        <v>13289.41</v>
      </c>
      <c r="R72" s="29">
        <f t="shared" si="12"/>
        <v>0.57943797689121435</v>
      </c>
      <c r="S72" s="23" t="str">
        <f t="shared" si="13"/>
        <v>✅ OK - Fechar Parceiro</v>
      </c>
      <c r="T72" s="23" t="str">
        <f>Cronograma[[#This Row],[STATUS]]</f>
        <v>✅ CONCLUÍDO</v>
      </c>
    </row>
    <row r="73" spans="1:20" ht="15" customHeight="1" x14ac:dyDescent="0.3">
      <c r="A73" s="23" t="s">
        <v>236</v>
      </c>
      <c r="B73" s="23" t="str">
        <f>IF(A73&lt;&gt;"","contel-"&amp;TEXT(COUNTA($A$2:A73),"00"),"")</f>
        <v>contel-72</v>
      </c>
      <c r="C73" s="23" t="s">
        <v>21</v>
      </c>
      <c r="D73" s="23" t="s">
        <v>237</v>
      </c>
      <c r="E73" s="23" t="s">
        <v>75</v>
      </c>
      <c r="F73" s="52" t="s">
        <v>238</v>
      </c>
      <c r="G73" s="23">
        <v>1860</v>
      </c>
      <c r="H73" s="30">
        <v>26517</v>
      </c>
      <c r="I73" s="23" t="s">
        <v>25</v>
      </c>
      <c r="J73" s="25">
        <f>SUM(EQUIPE!C73,EQUIPE!E73,EQUIPE!G73,EQUIPE!I73,EQUIPE!K73,EQUIPE!M73,EQUIPE!O73)</f>
        <v>5000</v>
      </c>
      <c r="K73" s="25">
        <v>6128.1</v>
      </c>
      <c r="L73" s="25">
        <v>2865.29</v>
      </c>
      <c r="M73" s="27" t="str">
        <f>IFERROR(LEFT(
IF(INDEX('ETAPA OBRA'!C:C,MATCH($B73,'ETAPA OBRA'!$B:$B,0))="x",'ETAPA OBRA'!C$1&amp;", ","")&amp;
IF(INDEX('ETAPA OBRA'!D:D,MATCH($B73,'ETAPA OBRA'!$B:$B,0))="x",'ETAPA OBRA'!D$1&amp;", ","")&amp;
IF(INDEX('ETAPA OBRA'!F:F,MATCH($B73,'ETAPA OBRA'!$B:$B,0))="x",'ETAPA OBRA'!F$1&amp;", ","")&amp;
IF(INDEX('ETAPA OBRA'!G:G,MATCH($B73,'ETAPA OBRA'!$B:$B,0))="x",'ETAPA OBRA'!G$1&amp;", ","")&amp;
IF(INDEX('ETAPA OBRA'!H:H,MATCH($B73,'ETAPA OBRA'!$B:$B,0))="x",'ETAPA OBRA'!H$1&amp;", ","")&amp;
IF(INDEX('ETAPA OBRA'!I:I,MATCH($B73,'ETAPA OBRA'!$B:$B,0))="x",'ETAPA OBRA'!I$1&amp;", ","")&amp;
IF(INDEX('ETAPA OBRA'!J:J,MATCH($B73,'ETAPA OBRA'!$B:$B,0))="x",'ETAPA OBRA'!J$1&amp;", ","")&amp;
IF(INDEX('ETAPA OBRA'!K:K,MATCH($B73,'ETAPA OBRA'!$B:$B,0))="x",'ETAPA OBRA'!K$1&amp;", ","")&amp;
IF(INDEX('ETAPA OBRA'!L:L,MATCH($B73,'ETAPA OBRA'!$B:$B,0))="x",'ETAPA OBRA'!L$1&amp;", ","")&amp;
IF(INDEX('ETAPA OBRA'!M:M,MATCH($B73,'ETAPA OBRA'!$B:$B,0))="x",'ETAPA OBRA'!M$1&amp;", ","")&amp;
IF(INDEX('ETAPA OBRA'!N:N,MATCH($B73,'ETAPA OBRA'!$B:$B,0))="x",'ETAPA OBRA'!N$1&amp;", ","")&amp;
IF(INDEX('ETAPA OBRA'!O:O,MATCH($B73,'ETAPA OBRA'!$B:$B,0))="x",'ETAPA OBRA'!O$1&amp;", ","")&amp;
IF(INDEX('ETAPA OBRA'!P:P,MATCH($B73,'ETAPA OBRA'!$B:$B,0))="x",'ETAPA OBRA'!P$1&amp;", ","")&amp;
IF(INDEX('ETAPA OBRA'!Q:Q,MATCH($B73,'ETAPA OBRA'!$B:$B,0))="x",'ETAPA OBRA'!Q$1&amp;", ","")&amp;
IF(INDEX('ETAPA OBRA'!R:R,MATCH($B73,'ETAPA OBRA'!$B:$B,0))="x",'ETAPA OBRA'!R$1&amp;", ","")&amp;
IF(INDEX('ETAPA OBRA'!S:S,MATCH($B73,'ETAPA OBRA'!$B:$B,0))="x",'ETAPA OBRA'!S$1&amp;", ","")&amp;
IF(INDEX('ETAPA OBRA'!T:T,MATCH($B73,'ETAPA OBRA'!$B:$B,0))="x",'ETAPA OBRA'!T$1&amp;", ","")&amp;
IF(INDEX('ETAPA OBRA'!U:U,MATCH($B73,'ETAPA OBRA'!$B:$B,0))="x",'ETAPA OBRA'!U$1&amp;", ",""),LEN(
IF(INDEX('ETAPA OBRA'!C:C,MATCH($B73,'ETAPA OBRA'!$B:$B,0))="x",'ETAPA OBRA'!C$1&amp;", ","")&amp;
IF(INDEX('ETAPA OBRA'!D:D,MATCH($B73,'ETAPA OBRA'!$B:$B,0))="x",'ETAPA OBRA'!D$1&amp;", ","")&amp;
IF(INDEX('ETAPA OBRA'!F:F,MATCH($B73,'ETAPA OBRA'!$B:$B,0))="x",'ETAPA OBRA'!F$1&amp;", ","")&amp;
IF(INDEX('ETAPA OBRA'!G:G,MATCH($B73,'ETAPA OBRA'!$B:$B,0))="x",'ETAPA OBRA'!G$1&amp;", ","")&amp;
IF(INDEX('ETAPA OBRA'!H:H,MATCH($B73,'ETAPA OBRA'!$B:$B,0))="x",'ETAPA OBRA'!H$1&amp;", ","")&amp;
IF(INDEX('ETAPA OBRA'!I:I,MATCH($B73,'ETAPA OBRA'!$B:$B,0))="x",'ETAPA OBRA'!I$1&amp;", ","")&amp;
IF(INDEX('ETAPA OBRA'!J:J,MATCH($B73,'ETAPA OBRA'!$B:$B,0))="x",'ETAPA OBRA'!J$1&amp;", ","")&amp;
IF(INDEX('ETAPA OBRA'!K:K,MATCH($B73,'ETAPA OBRA'!$B:$B,0))="x",'ETAPA OBRA'!K$1&amp;", ","")&amp;
IF(INDEX('ETAPA OBRA'!L:L,MATCH($B73,'ETAPA OBRA'!$B:$B,0))="x",'ETAPA OBRA'!L$1&amp;", ","")&amp;
IF(INDEX('ETAPA OBRA'!M:M,MATCH($B73,'ETAPA OBRA'!$B:$B,0))="x",'ETAPA OBRA'!M$1&amp;", ","")&amp;
IF(INDEX('ETAPA OBRA'!N:N,MATCH($B73,'ETAPA OBRA'!$B:$B,0))="x",'ETAPA OBRA'!N$1&amp;", ","")&amp;
IF(INDEX('ETAPA OBRA'!O:O,MATCH($B73,'ETAPA OBRA'!$B:$B,0))="x",'ETAPA OBRA'!O$1&amp;", ","")&amp;
IF(INDEX('ETAPA OBRA'!P:P,MATCH($B73,'ETAPA OBRA'!$B:$B,0))="x",'ETAPA OBRA'!P$1&amp;", ","")&amp;
IF(INDEX('ETAPA OBRA'!Q:Q,MATCH($B73,'ETAPA OBRA'!$B:$B,0))="x",'ETAPA OBRA'!Q$1&amp;", ","")&amp;
IF(INDEX('ETAPA OBRA'!R:R,MATCH($B73,'ETAPA OBRA'!$B:$B,0))="x",'ETAPA OBRA'!R$1&amp;", ","")&amp;
IF(INDEX('ETAPA OBRA'!S:S,MATCH($B73,'ETAPA OBRA'!$B:$B,0))="x",'ETAPA OBRA'!S$1&amp;", ","")&amp;
IF(INDEX('ETAPA OBRA'!T:T,MATCH($B73,'ETAPA OBRA'!$B:$B,0))="x",'ETAPA OBRA'!T$1&amp;", ","")&amp;
IF(INDEX('ETAPA OBRA'!U:U,MATCH($B73,'ETAPA OBRA'!$B:$B,0))="x",'ETAPA OBRA'!U$1&amp;", ","")
)-2),"")</f>
        <v>Finalizado</v>
      </c>
      <c r="N73" s="23" t="str">
        <f t="shared" si="9"/>
        <v>Finalizado</v>
      </c>
      <c r="O73" s="28">
        <v>22539.599999999999</v>
      </c>
      <c r="P73" s="37">
        <f t="shared" si="10"/>
        <v>13993.39</v>
      </c>
      <c r="Q73" s="28">
        <f t="shared" si="11"/>
        <v>8546.2099999999991</v>
      </c>
      <c r="R73" s="29">
        <f t="shared" si="12"/>
        <v>0.37916422651688581</v>
      </c>
      <c r="S73" s="23" t="str">
        <f t="shared" si="13"/>
        <v>✅ OK - Fechar Parceiro</v>
      </c>
      <c r="T73" s="23" t="str">
        <f>Cronograma[[#This Row],[STATUS]]</f>
        <v>✅ CONCLUÍDO</v>
      </c>
    </row>
    <row r="74" spans="1:20" ht="15" customHeight="1" x14ac:dyDescent="0.3">
      <c r="A74" s="23" t="s">
        <v>239</v>
      </c>
      <c r="B74" s="23" t="str">
        <f>IF(A74&lt;&gt;"","contel-"&amp;TEXT(COUNTA($A$2:A74),"00"),"")</f>
        <v>contel-73</v>
      </c>
      <c r="C74" s="23" t="s">
        <v>78</v>
      </c>
      <c r="D74" s="23" t="s">
        <v>240</v>
      </c>
      <c r="E74" s="23" t="s">
        <v>192</v>
      </c>
      <c r="F74" s="52" t="s">
        <v>241</v>
      </c>
      <c r="G74" s="23">
        <v>1863</v>
      </c>
      <c r="H74" s="30">
        <v>26520</v>
      </c>
      <c r="I74" s="23" t="s">
        <v>34</v>
      </c>
      <c r="J74" s="25">
        <f>SUM(EQUIPE!C74,EQUIPE!E74,EQUIPE!G74,EQUIPE!I74,EQUIPE!K74,EQUIPE!M74,EQUIPE!O74)</f>
        <v>13000</v>
      </c>
      <c r="K74" s="25">
        <v>0</v>
      </c>
      <c r="L74" s="25">
        <v>285.58999999999997</v>
      </c>
      <c r="M74" s="27" t="str">
        <f>IFERROR(LEFT(
IF(INDEX('ETAPA OBRA'!C:C,MATCH($B74,'ETAPA OBRA'!$B:$B,0))="x",'ETAPA OBRA'!C$1&amp;", ","")&amp;
IF(INDEX('ETAPA OBRA'!D:D,MATCH($B74,'ETAPA OBRA'!$B:$B,0))="x",'ETAPA OBRA'!D$1&amp;", ","")&amp;
IF(INDEX('ETAPA OBRA'!F:F,MATCH($B74,'ETAPA OBRA'!$B:$B,0))="x",'ETAPA OBRA'!F$1&amp;", ","")&amp;
IF(INDEX('ETAPA OBRA'!G:G,MATCH($B74,'ETAPA OBRA'!$B:$B,0))="x",'ETAPA OBRA'!G$1&amp;", ","")&amp;
IF(INDEX('ETAPA OBRA'!H:H,MATCH($B74,'ETAPA OBRA'!$B:$B,0))="x",'ETAPA OBRA'!H$1&amp;", ","")&amp;
IF(INDEX('ETAPA OBRA'!I:I,MATCH($B74,'ETAPA OBRA'!$B:$B,0))="x",'ETAPA OBRA'!I$1&amp;", ","")&amp;
IF(INDEX('ETAPA OBRA'!J:J,MATCH($B74,'ETAPA OBRA'!$B:$B,0))="x",'ETAPA OBRA'!J$1&amp;", ","")&amp;
IF(INDEX('ETAPA OBRA'!K:K,MATCH($B74,'ETAPA OBRA'!$B:$B,0))="x",'ETAPA OBRA'!K$1&amp;", ","")&amp;
IF(INDEX('ETAPA OBRA'!L:L,MATCH($B74,'ETAPA OBRA'!$B:$B,0))="x",'ETAPA OBRA'!L$1&amp;", ","")&amp;
IF(INDEX('ETAPA OBRA'!M:M,MATCH($B74,'ETAPA OBRA'!$B:$B,0))="x",'ETAPA OBRA'!M$1&amp;", ","")&amp;
IF(INDEX('ETAPA OBRA'!N:N,MATCH($B74,'ETAPA OBRA'!$B:$B,0))="x",'ETAPA OBRA'!N$1&amp;", ","")&amp;
IF(INDEX('ETAPA OBRA'!O:O,MATCH($B74,'ETAPA OBRA'!$B:$B,0))="x",'ETAPA OBRA'!O$1&amp;", ","")&amp;
IF(INDEX('ETAPA OBRA'!P:P,MATCH($B74,'ETAPA OBRA'!$B:$B,0))="x",'ETAPA OBRA'!P$1&amp;", ","")&amp;
IF(INDEX('ETAPA OBRA'!Q:Q,MATCH($B74,'ETAPA OBRA'!$B:$B,0))="x",'ETAPA OBRA'!Q$1&amp;", ","")&amp;
IF(INDEX('ETAPA OBRA'!R:R,MATCH($B74,'ETAPA OBRA'!$B:$B,0))="x",'ETAPA OBRA'!R$1&amp;", ","")&amp;
IF(INDEX('ETAPA OBRA'!S:S,MATCH($B74,'ETAPA OBRA'!$B:$B,0))="x",'ETAPA OBRA'!S$1&amp;", ","")&amp;
IF(INDEX('ETAPA OBRA'!T:T,MATCH($B74,'ETAPA OBRA'!$B:$B,0))="x",'ETAPA OBRA'!T$1&amp;", ","")&amp;
IF(INDEX('ETAPA OBRA'!U:U,MATCH($B74,'ETAPA OBRA'!$B:$B,0))="x",'ETAPA OBRA'!U$1&amp;", ",""),LEN(
IF(INDEX('ETAPA OBRA'!C:C,MATCH($B74,'ETAPA OBRA'!$B:$B,0))="x",'ETAPA OBRA'!C$1&amp;", ","")&amp;
IF(INDEX('ETAPA OBRA'!D:D,MATCH($B74,'ETAPA OBRA'!$B:$B,0))="x",'ETAPA OBRA'!D$1&amp;", ","")&amp;
IF(INDEX('ETAPA OBRA'!F:F,MATCH($B74,'ETAPA OBRA'!$B:$B,0))="x",'ETAPA OBRA'!F$1&amp;", ","")&amp;
IF(INDEX('ETAPA OBRA'!G:G,MATCH($B74,'ETAPA OBRA'!$B:$B,0))="x",'ETAPA OBRA'!G$1&amp;", ","")&amp;
IF(INDEX('ETAPA OBRA'!H:H,MATCH($B74,'ETAPA OBRA'!$B:$B,0))="x",'ETAPA OBRA'!H$1&amp;", ","")&amp;
IF(INDEX('ETAPA OBRA'!I:I,MATCH($B74,'ETAPA OBRA'!$B:$B,0))="x",'ETAPA OBRA'!I$1&amp;", ","")&amp;
IF(INDEX('ETAPA OBRA'!J:J,MATCH($B74,'ETAPA OBRA'!$B:$B,0))="x",'ETAPA OBRA'!J$1&amp;", ","")&amp;
IF(INDEX('ETAPA OBRA'!K:K,MATCH($B74,'ETAPA OBRA'!$B:$B,0))="x",'ETAPA OBRA'!K$1&amp;", ","")&amp;
IF(INDEX('ETAPA OBRA'!L:L,MATCH($B74,'ETAPA OBRA'!$B:$B,0))="x",'ETAPA OBRA'!L$1&amp;", ","")&amp;
IF(INDEX('ETAPA OBRA'!M:M,MATCH($B74,'ETAPA OBRA'!$B:$B,0))="x",'ETAPA OBRA'!M$1&amp;", ","")&amp;
IF(INDEX('ETAPA OBRA'!N:N,MATCH($B74,'ETAPA OBRA'!$B:$B,0))="x",'ETAPA OBRA'!N$1&amp;", ","")&amp;
IF(INDEX('ETAPA OBRA'!O:O,MATCH($B74,'ETAPA OBRA'!$B:$B,0))="x",'ETAPA OBRA'!O$1&amp;", ","")&amp;
IF(INDEX('ETAPA OBRA'!P:P,MATCH($B74,'ETAPA OBRA'!$B:$B,0))="x",'ETAPA OBRA'!P$1&amp;", ","")&amp;
IF(INDEX('ETAPA OBRA'!Q:Q,MATCH($B74,'ETAPA OBRA'!$B:$B,0))="x",'ETAPA OBRA'!Q$1&amp;", ","")&amp;
IF(INDEX('ETAPA OBRA'!R:R,MATCH($B74,'ETAPA OBRA'!$B:$B,0))="x",'ETAPA OBRA'!R$1&amp;", ","")&amp;
IF(INDEX('ETAPA OBRA'!S:S,MATCH($B74,'ETAPA OBRA'!$B:$B,0))="x",'ETAPA OBRA'!S$1&amp;", ","")&amp;
IF(INDEX('ETAPA OBRA'!T:T,MATCH($B74,'ETAPA OBRA'!$B:$B,0))="x",'ETAPA OBRA'!T$1&amp;", ","")&amp;
IF(INDEX('ETAPA OBRA'!U:U,MATCH($B74,'ETAPA OBRA'!$B:$B,0))="x",'ETAPA OBRA'!U$1&amp;", ","")
)-2),"")</f>
        <v>Finalizado</v>
      </c>
      <c r="N74" s="23" t="str">
        <f t="shared" si="9"/>
        <v>Finalizado</v>
      </c>
      <c r="O74" s="28">
        <v>30500</v>
      </c>
      <c r="P74" s="37">
        <f t="shared" si="10"/>
        <v>13285.59</v>
      </c>
      <c r="Q74" s="28">
        <f t="shared" si="11"/>
        <v>17214.41</v>
      </c>
      <c r="R74" s="29">
        <f t="shared" si="12"/>
        <v>0.56440688524590166</v>
      </c>
      <c r="S74" s="23" t="str">
        <f t="shared" si="13"/>
        <v>✅ OK - Fechar Parceiro</v>
      </c>
      <c r="T74" s="23" t="str">
        <f>Cronograma[[#This Row],[STATUS]]</f>
        <v>✅ CONCLUÍDO</v>
      </c>
    </row>
    <row r="75" spans="1:20" ht="15" customHeight="1" x14ac:dyDescent="0.3">
      <c r="A75" s="23" t="s">
        <v>242</v>
      </c>
      <c r="B75" s="23" t="str">
        <f>IF(A75&lt;&gt;"","contel-"&amp;TEXT(COUNTA($A$2:A75),"00"),"")</f>
        <v>contel-74</v>
      </c>
      <c r="C75" s="23" t="s">
        <v>78</v>
      </c>
      <c r="D75" s="23" t="s">
        <v>243</v>
      </c>
      <c r="E75" s="23" t="s">
        <v>28</v>
      </c>
      <c r="F75" s="52" t="s">
        <v>244</v>
      </c>
      <c r="G75" s="23">
        <v>1862</v>
      </c>
      <c r="H75" s="32">
        <v>26529</v>
      </c>
      <c r="I75" s="23" t="s">
        <v>63</v>
      </c>
      <c r="J75" s="25">
        <f>SUM(EQUIPE!C75,EQUIPE!E75,EQUIPE!G75,EQUIPE!I75,EQUIPE!K75,EQUIPE!M75,EQUIPE!O75)</f>
        <v>7300</v>
      </c>
      <c r="K75" s="25">
        <v>11231.32</v>
      </c>
      <c r="L75" s="25">
        <v>14579.53</v>
      </c>
      <c r="M75" s="27" t="str">
        <f>IFERROR(LEFT(
IF(INDEX('ETAPA OBRA'!C:C,MATCH($B75,'ETAPA OBRA'!$B:$B,0))="x",'ETAPA OBRA'!C$1&amp;", ","")&amp;
IF(INDEX('ETAPA OBRA'!D:D,MATCH($B75,'ETAPA OBRA'!$B:$B,0))="x",'ETAPA OBRA'!D$1&amp;", ","")&amp;
IF(INDEX('ETAPA OBRA'!F:F,MATCH($B75,'ETAPA OBRA'!$B:$B,0))="x",'ETAPA OBRA'!F$1&amp;", ","")&amp;
IF(INDEX('ETAPA OBRA'!G:G,MATCH($B75,'ETAPA OBRA'!$B:$B,0))="x",'ETAPA OBRA'!G$1&amp;", ","")&amp;
IF(INDEX('ETAPA OBRA'!H:H,MATCH($B75,'ETAPA OBRA'!$B:$B,0))="x",'ETAPA OBRA'!H$1&amp;", ","")&amp;
IF(INDEX('ETAPA OBRA'!I:I,MATCH($B75,'ETAPA OBRA'!$B:$B,0))="x",'ETAPA OBRA'!I$1&amp;", ","")&amp;
IF(INDEX('ETAPA OBRA'!J:J,MATCH($B75,'ETAPA OBRA'!$B:$B,0))="x",'ETAPA OBRA'!J$1&amp;", ","")&amp;
IF(INDEX('ETAPA OBRA'!K:K,MATCH($B75,'ETAPA OBRA'!$B:$B,0))="x",'ETAPA OBRA'!K$1&amp;", ","")&amp;
IF(INDEX('ETAPA OBRA'!L:L,MATCH($B75,'ETAPA OBRA'!$B:$B,0))="x",'ETAPA OBRA'!L$1&amp;", ","")&amp;
IF(INDEX('ETAPA OBRA'!M:M,MATCH($B75,'ETAPA OBRA'!$B:$B,0))="x",'ETAPA OBRA'!M$1&amp;", ","")&amp;
IF(INDEX('ETAPA OBRA'!N:N,MATCH($B75,'ETAPA OBRA'!$B:$B,0))="x",'ETAPA OBRA'!N$1&amp;", ","")&amp;
IF(INDEX('ETAPA OBRA'!O:O,MATCH($B75,'ETAPA OBRA'!$B:$B,0))="x",'ETAPA OBRA'!O$1&amp;", ","")&amp;
IF(INDEX('ETAPA OBRA'!P:P,MATCH($B75,'ETAPA OBRA'!$B:$B,0))="x",'ETAPA OBRA'!P$1&amp;", ","")&amp;
IF(INDEX('ETAPA OBRA'!Q:Q,MATCH($B75,'ETAPA OBRA'!$B:$B,0))="x",'ETAPA OBRA'!Q$1&amp;", ","")&amp;
IF(INDEX('ETAPA OBRA'!R:R,MATCH($B75,'ETAPA OBRA'!$B:$B,0))="x",'ETAPA OBRA'!R$1&amp;", ","")&amp;
IF(INDEX('ETAPA OBRA'!S:S,MATCH($B75,'ETAPA OBRA'!$B:$B,0))="x",'ETAPA OBRA'!S$1&amp;", ","")&amp;
IF(INDEX('ETAPA OBRA'!T:T,MATCH($B75,'ETAPA OBRA'!$B:$B,0))="x",'ETAPA OBRA'!T$1&amp;", ","")&amp;
IF(INDEX('ETAPA OBRA'!U:U,MATCH($B75,'ETAPA OBRA'!$B:$B,0))="x",'ETAPA OBRA'!U$1&amp;", ",""),LEN(
IF(INDEX('ETAPA OBRA'!C:C,MATCH($B75,'ETAPA OBRA'!$B:$B,0))="x",'ETAPA OBRA'!C$1&amp;", ","")&amp;
IF(INDEX('ETAPA OBRA'!D:D,MATCH($B75,'ETAPA OBRA'!$B:$B,0))="x",'ETAPA OBRA'!D$1&amp;", ","")&amp;
IF(INDEX('ETAPA OBRA'!F:F,MATCH($B75,'ETAPA OBRA'!$B:$B,0))="x",'ETAPA OBRA'!F$1&amp;", ","")&amp;
IF(INDEX('ETAPA OBRA'!G:G,MATCH($B75,'ETAPA OBRA'!$B:$B,0))="x",'ETAPA OBRA'!G$1&amp;", ","")&amp;
IF(INDEX('ETAPA OBRA'!H:H,MATCH($B75,'ETAPA OBRA'!$B:$B,0))="x",'ETAPA OBRA'!H$1&amp;", ","")&amp;
IF(INDEX('ETAPA OBRA'!I:I,MATCH($B75,'ETAPA OBRA'!$B:$B,0))="x",'ETAPA OBRA'!I$1&amp;", ","")&amp;
IF(INDEX('ETAPA OBRA'!J:J,MATCH($B75,'ETAPA OBRA'!$B:$B,0))="x",'ETAPA OBRA'!J$1&amp;", ","")&amp;
IF(INDEX('ETAPA OBRA'!K:K,MATCH($B75,'ETAPA OBRA'!$B:$B,0))="x",'ETAPA OBRA'!K$1&amp;", ","")&amp;
IF(INDEX('ETAPA OBRA'!L:L,MATCH($B75,'ETAPA OBRA'!$B:$B,0))="x",'ETAPA OBRA'!L$1&amp;", ","")&amp;
IF(INDEX('ETAPA OBRA'!M:M,MATCH($B75,'ETAPA OBRA'!$B:$B,0))="x",'ETAPA OBRA'!M$1&amp;", ","")&amp;
IF(INDEX('ETAPA OBRA'!N:N,MATCH($B75,'ETAPA OBRA'!$B:$B,0))="x",'ETAPA OBRA'!N$1&amp;", ","")&amp;
IF(INDEX('ETAPA OBRA'!O:O,MATCH($B75,'ETAPA OBRA'!$B:$B,0))="x",'ETAPA OBRA'!O$1&amp;", ","")&amp;
IF(INDEX('ETAPA OBRA'!P:P,MATCH($B75,'ETAPA OBRA'!$B:$B,0))="x",'ETAPA OBRA'!P$1&amp;", ","")&amp;
IF(INDEX('ETAPA OBRA'!Q:Q,MATCH($B75,'ETAPA OBRA'!$B:$B,0))="x",'ETAPA OBRA'!Q$1&amp;", ","")&amp;
IF(INDEX('ETAPA OBRA'!R:R,MATCH($B75,'ETAPA OBRA'!$B:$B,0))="x",'ETAPA OBRA'!R$1&amp;", ","")&amp;
IF(INDEX('ETAPA OBRA'!S:S,MATCH($B75,'ETAPA OBRA'!$B:$B,0))="x",'ETAPA OBRA'!S$1&amp;", ","")&amp;
IF(INDEX('ETAPA OBRA'!T:T,MATCH($B75,'ETAPA OBRA'!$B:$B,0))="x",'ETAPA OBRA'!T$1&amp;", ","")&amp;
IF(INDEX('ETAPA OBRA'!U:U,MATCH($B75,'ETAPA OBRA'!$B:$B,0))="x",'ETAPA OBRA'!U$1&amp;", ","")
)-2),"")</f>
        <v>Finalizado</v>
      </c>
      <c r="N75" s="23" t="str">
        <f t="shared" si="9"/>
        <v>Finalizado</v>
      </c>
      <c r="O75" s="28">
        <v>70857.55</v>
      </c>
      <c r="P75" s="37">
        <f t="shared" si="10"/>
        <v>33110.85</v>
      </c>
      <c r="Q75" s="28">
        <f t="shared" si="11"/>
        <v>37746.700000000004</v>
      </c>
      <c r="R75" s="29">
        <f t="shared" si="12"/>
        <v>0.53271246324491894</v>
      </c>
      <c r="S75" s="23" t="str">
        <f t="shared" si="13"/>
        <v>✅ OK - Fechar Parceiro</v>
      </c>
      <c r="T75" s="23" t="str">
        <f>Cronograma[[#This Row],[STATUS]]</f>
        <v>✅ CONCLUÍDO</v>
      </c>
    </row>
    <row r="76" spans="1:20" ht="15" customHeight="1" x14ac:dyDescent="0.3">
      <c r="A76" s="23" t="s">
        <v>245</v>
      </c>
      <c r="B76" s="23" t="str">
        <f>IF(A76&lt;&gt;"","contel-"&amp;TEXT(COUNTA($A$2:A76),"00"),"")</f>
        <v>contel-75</v>
      </c>
      <c r="C76" s="23" t="s">
        <v>21</v>
      </c>
      <c r="D76" s="23" t="s">
        <v>246</v>
      </c>
      <c r="E76" s="23" t="s">
        <v>192</v>
      </c>
      <c r="F76" s="52" t="s">
        <v>247</v>
      </c>
      <c r="G76" s="23">
        <v>1861</v>
      </c>
      <c r="H76" s="30">
        <v>26532</v>
      </c>
      <c r="I76" s="23" t="s">
        <v>25</v>
      </c>
      <c r="J76" s="25">
        <f>SUM(EQUIPE!C76,EQUIPE!E76,EQUIPE!G76,EQUIPE!I76,EQUIPE!K76,EQUIPE!M76,EQUIPE!O76)</f>
        <v>3800</v>
      </c>
      <c r="K76" s="25">
        <v>0</v>
      </c>
      <c r="L76" s="25">
        <v>0</v>
      </c>
      <c r="M76" s="27" t="str">
        <f ca="1">IFERROR(LEFT(
IF(INDEX('ETAPA OBRA'!C:C,MATCH($B76,'ETAPA OBRA'!$B:$B,0))="x",'ETAPA OBRA'!C$1&amp;", ","")&amp;
IF(INDEX('ETAPA OBRA'!D:D,MATCH($B76,'ETAPA OBRA'!$B:$B,0))="x",'ETAPA OBRA'!D$1&amp;", ","")&amp;
IF(INDEX('ETAPA OBRA'!F:F,MATCH($B76,'ETAPA OBRA'!$B:$B,0))="x",'ETAPA OBRA'!F$1&amp;", ","")&amp;
IF(INDEX('ETAPA OBRA'!G:G,MATCH($B76,'ETAPA OBRA'!$B:$B,0))="x",'ETAPA OBRA'!G$1&amp;", ","")&amp;
IF(INDEX('ETAPA OBRA'!H:H,MATCH($B76,'ETAPA OBRA'!$B:$B,0))="x",'ETAPA OBRA'!H$1&amp;", ","")&amp;
IF(INDEX('ETAPA OBRA'!I:I,MATCH($B76,'ETAPA OBRA'!$B:$B,0))="x",'ETAPA OBRA'!I$1&amp;", ","")&amp;
IF(INDEX('ETAPA OBRA'!J:J,MATCH($B76,'ETAPA OBRA'!$B:$B,0))="x",'ETAPA OBRA'!J$1&amp;", ","")&amp;
IF(INDEX('ETAPA OBRA'!K:K,MATCH($B76,'ETAPA OBRA'!$B:$B,0))="x",'ETAPA OBRA'!K$1&amp;", ","")&amp;
IF(INDEX('ETAPA OBRA'!L:L,MATCH($B76,'ETAPA OBRA'!$B:$B,0))="x",'ETAPA OBRA'!L$1&amp;", ","")&amp;
IF(INDEX('ETAPA OBRA'!M:M,MATCH($B76,'ETAPA OBRA'!$B:$B,0))="x",'ETAPA OBRA'!M$1&amp;", ","")&amp;
IF(INDEX('ETAPA OBRA'!N:N,MATCH($B76,'ETAPA OBRA'!$B:$B,0))="x",'ETAPA OBRA'!N$1&amp;", ","")&amp;
IF(INDEX('ETAPA OBRA'!O:O,MATCH($B76,'ETAPA OBRA'!$B:$B,0))="x",'ETAPA OBRA'!O$1&amp;", ","")&amp;
IF(INDEX('ETAPA OBRA'!P:P,MATCH($B76,'ETAPA OBRA'!$B:$B,0))="x",'ETAPA OBRA'!P$1&amp;", ","")&amp;
IF(INDEX('ETAPA OBRA'!Q:Q,MATCH($B76,'ETAPA OBRA'!$B:$B,0))="x",'ETAPA OBRA'!Q$1&amp;", ","")&amp;
IF(INDEX('ETAPA OBRA'!R:R,MATCH($B76,'ETAPA OBRA'!$B:$B,0))="x",'ETAPA OBRA'!R$1&amp;", ","")&amp;
IF(INDEX('ETAPA OBRA'!S:S,MATCH($B76,'ETAPA OBRA'!$B:$B,0))="x",'ETAPA OBRA'!S$1&amp;", ","")&amp;
IF(INDEX('ETAPA OBRA'!T:T,MATCH($B76,'ETAPA OBRA'!$B:$B,0))="x",'ETAPA OBRA'!T$1&amp;", ","")&amp;
IF(INDEX('ETAPA OBRA'!U:U,MATCH($B76,'ETAPA OBRA'!$B:$B,0))="x",'ETAPA OBRA'!U$1&amp;", ",""),LEN(
IF(INDEX('ETAPA OBRA'!C:C,MATCH($B76,'ETAPA OBRA'!$B:$B,0))="x",'ETAPA OBRA'!C$1&amp;", ","")&amp;
IF(INDEX('ETAPA OBRA'!D:D,MATCH($B76,'ETAPA OBRA'!$B:$B,0))="x",'ETAPA OBRA'!D$1&amp;", ","")&amp;
IF(INDEX('ETAPA OBRA'!F:F,MATCH($B76,'ETAPA OBRA'!$B:$B,0))="x",'ETAPA OBRA'!F$1&amp;", ","")&amp;
IF(INDEX('ETAPA OBRA'!G:G,MATCH($B76,'ETAPA OBRA'!$B:$B,0))="x",'ETAPA OBRA'!G$1&amp;", ","")&amp;
IF(INDEX('ETAPA OBRA'!H:H,MATCH($B76,'ETAPA OBRA'!$B:$B,0))="x",'ETAPA OBRA'!H$1&amp;", ","")&amp;
IF(INDEX('ETAPA OBRA'!I:I,MATCH($B76,'ETAPA OBRA'!$B:$B,0))="x",'ETAPA OBRA'!I$1&amp;", ","")&amp;
IF(INDEX('ETAPA OBRA'!J:J,MATCH($B76,'ETAPA OBRA'!$B:$B,0))="x",'ETAPA OBRA'!J$1&amp;", ","")&amp;
IF(INDEX('ETAPA OBRA'!K:K,MATCH($B76,'ETAPA OBRA'!$B:$B,0))="x",'ETAPA OBRA'!K$1&amp;", ","")&amp;
IF(INDEX('ETAPA OBRA'!L:L,MATCH($B76,'ETAPA OBRA'!$B:$B,0))="x",'ETAPA OBRA'!L$1&amp;", ","")&amp;
IF(INDEX('ETAPA OBRA'!M:M,MATCH($B76,'ETAPA OBRA'!$B:$B,0))="x",'ETAPA OBRA'!M$1&amp;", ","")&amp;
IF(INDEX('ETAPA OBRA'!N:N,MATCH($B76,'ETAPA OBRA'!$B:$B,0))="x",'ETAPA OBRA'!N$1&amp;", ","")&amp;
IF(INDEX('ETAPA OBRA'!O:O,MATCH($B76,'ETAPA OBRA'!$B:$B,0))="x",'ETAPA OBRA'!O$1&amp;", ","")&amp;
IF(INDEX('ETAPA OBRA'!P:P,MATCH($B76,'ETAPA OBRA'!$B:$B,0))="x",'ETAPA OBRA'!P$1&amp;", ","")&amp;
IF(INDEX('ETAPA OBRA'!Q:Q,MATCH($B76,'ETAPA OBRA'!$B:$B,0))="x",'ETAPA OBRA'!Q$1&amp;", ","")&amp;
IF(INDEX('ETAPA OBRA'!R:R,MATCH($B76,'ETAPA OBRA'!$B:$B,0))="x",'ETAPA OBRA'!R$1&amp;", ","")&amp;
IF(INDEX('ETAPA OBRA'!S:S,MATCH($B76,'ETAPA OBRA'!$B:$B,0))="x",'ETAPA OBRA'!S$1&amp;", ","")&amp;
IF(INDEX('ETAPA OBRA'!T:T,MATCH($B76,'ETAPA OBRA'!$B:$B,0))="x",'ETAPA OBRA'!T$1&amp;", ","")&amp;
IF(INDEX('ETAPA OBRA'!U:U,MATCH($B76,'ETAPA OBRA'!$B:$B,0))="x",'ETAPA OBRA'!U$1&amp;", ","")
)-2),"")</f>
        <v>Projeto, Compra de material</v>
      </c>
      <c r="N76" s="23" t="str">
        <f t="shared" ca="1" si="9"/>
        <v>Em andamento</v>
      </c>
      <c r="O76" s="28">
        <v>159503.41</v>
      </c>
      <c r="P76" s="37">
        <f t="shared" si="10"/>
        <v>3800</v>
      </c>
      <c r="Q76" s="28">
        <f t="shared" si="11"/>
        <v>155703.41</v>
      </c>
      <c r="R76" s="29">
        <f t="shared" si="12"/>
        <v>0.97617605792879292</v>
      </c>
      <c r="S76" s="23" t="str">
        <f t="shared" si="13"/>
        <v>✅ OK - Fechar Parceiro</v>
      </c>
      <c r="T76" s="23" t="str">
        <f ca="1">Cronograma[[#This Row],[STATUS]]</f>
        <v>🕓 EM ANDAMENTO</v>
      </c>
    </row>
    <row r="77" spans="1:20" ht="15" customHeight="1" x14ac:dyDescent="0.3">
      <c r="A77" s="23">
        <v>63060028</v>
      </c>
      <c r="B77" s="23" t="str">
        <f>IF(A77&lt;&gt;"","contel-"&amp;TEXT(COUNTA($A$2:A77),"00"),"")</f>
        <v>contel-76</v>
      </c>
      <c r="C77" s="23" t="s">
        <v>78</v>
      </c>
      <c r="D77" s="23" t="s">
        <v>248</v>
      </c>
      <c r="E77" s="23" t="s">
        <v>249</v>
      </c>
      <c r="F77" s="52" t="s">
        <v>250</v>
      </c>
      <c r="G77" s="23">
        <v>1852</v>
      </c>
      <c r="H77" s="30">
        <v>20043</v>
      </c>
      <c r="I77" s="23" t="s">
        <v>25</v>
      </c>
      <c r="J77" s="25">
        <f>SUM(EQUIPE!C77,EQUIPE!E77,EQUIPE!G77,EQUIPE!I77,EQUIPE!K77,EQUIPE!M77,EQUIPE!O77)</f>
        <v>6500</v>
      </c>
      <c r="K77" s="25">
        <v>414.3</v>
      </c>
      <c r="L77" s="25">
        <v>3925.43</v>
      </c>
      <c r="M77" s="27" t="str">
        <f>IFERROR(LEFT(
IF(INDEX('ETAPA OBRA'!C:C,MATCH($B77,'ETAPA OBRA'!$B:$B,0))="x",'ETAPA OBRA'!C$1&amp;", ","")&amp;
IF(INDEX('ETAPA OBRA'!D:D,MATCH($B77,'ETAPA OBRA'!$B:$B,0))="x",'ETAPA OBRA'!D$1&amp;", ","")&amp;
IF(INDEX('ETAPA OBRA'!F:F,MATCH($B77,'ETAPA OBRA'!$B:$B,0))="x",'ETAPA OBRA'!F$1&amp;", ","")&amp;
IF(INDEX('ETAPA OBRA'!G:G,MATCH($B77,'ETAPA OBRA'!$B:$B,0))="x",'ETAPA OBRA'!G$1&amp;", ","")&amp;
IF(INDEX('ETAPA OBRA'!H:H,MATCH($B77,'ETAPA OBRA'!$B:$B,0))="x",'ETAPA OBRA'!H$1&amp;", ","")&amp;
IF(INDEX('ETAPA OBRA'!I:I,MATCH($B77,'ETAPA OBRA'!$B:$B,0))="x",'ETAPA OBRA'!I$1&amp;", ","")&amp;
IF(INDEX('ETAPA OBRA'!J:J,MATCH($B77,'ETAPA OBRA'!$B:$B,0))="x",'ETAPA OBRA'!J$1&amp;", ","")&amp;
IF(INDEX('ETAPA OBRA'!K:K,MATCH($B77,'ETAPA OBRA'!$B:$B,0))="x",'ETAPA OBRA'!K$1&amp;", ","")&amp;
IF(INDEX('ETAPA OBRA'!L:L,MATCH($B77,'ETAPA OBRA'!$B:$B,0))="x",'ETAPA OBRA'!L$1&amp;", ","")&amp;
IF(INDEX('ETAPA OBRA'!M:M,MATCH($B77,'ETAPA OBRA'!$B:$B,0))="x",'ETAPA OBRA'!M$1&amp;", ","")&amp;
IF(INDEX('ETAPA OBRA'!N:N,MATCH($B77,'ETAPA OBRA'!$B:$B,0))="x",'ETAPA OBRA'!N$1&amp;", ","")&amp;
IF(INDEX('ETAPA OBRA'!O:O,MATCH($B77,'ETAPA OBRA'!$B:$B,0))="x",'ETAPA OBRA'!O$1&amp;", ","")&amp;
IF(INDEX('ETAPA OBRA'!P:P,MATCH($B77,'ETAPA OBRA'!$B:$B,0))="x",'ETAPA OBRA'!P$1&amp;", ","")&amp;
IF(INDEX('ETAPA OBRA'!Q:Q,MATCH($B77,'ETAPA OBRA'!$B:$B,0))="x",'ETAPA OBRA'!Q$1&amp;", ","")&amp;
IF(INDEX('ETAPA OBRA'!R:R,MATCH($B77,'ETAPA OBRA'!$B:$B,0))="x",'ETAPA OBRA'!R$1&amp;", ","")&amp;
IF(INDEX('ETAPA OBRA'!S:S,MATCH($B77,'ETAPA OBRA'!$B:$B,0))="x",'ETAPA OBRA'!S$1&amp;", ","")&amp;
IF(INDEX('ETAPA OBRA'!T:T,MATCH($B77,'ETAPA OBRA'!$B:$B,0))="x",'ETAPA OBRA'!T$1&amp;", ","")&amp;
IF(INDEX('ETAPA OBRA'!U:U,MATCH($B77,'ETAPA OBRA'!$B:$B,0))="x",'ETAPA OBRA'!U$1&amp;", ",""),LEN(
IF(INDEX('ETAPA OBRA'!C:C,MATCH($B77,'ETAPA OBRA'!$B:$B,0))="x",'ETAPA OBRA'!C$1&amp;", ","")&amp;
IF(INDEX('ETAPA OBRA'!D:D,MATCH($B77,'ETAPA OBRA'!$B:$B,0))="x",'ETAPA OBRA'!D$1&amp;", ","")&amp;
IF(INDEX('ETAPA OBRA'!F:F,MATCH($B77,'ETAPA OBRA'!$B:$B,0))="x",'ETAPA OBRA'!F$1&amp;", ","")&amp;
IF(INDEX('ETAPA OBRA'!G:G,MATCH($B77,'ETAPA OBRA'!$B:$B,0))="x",'ETAPA OBRA'!G$1&amp;", ","")&amp;
IF(INDEX('ETAPA OBRA'!H:H,MATCH($B77,'ETAPA OBRA'!$B:$B,0))="x",'ETAPA OBRA'!H$1&amp;", ","")&amp;
IF(INDEX('ETAPA OBRA'!I:I,MATCH($B77,'ETAPA OBRA'!$B:$B,0))="x",'ETAPA OBRA'!I$1&amp;", ","")&amp;
IF(INDEX('ETAPA OBRA'!J:J,MATCH($B77,'ETAPA OBRA'!$B:$B,0))="x",'ETAPA OBRA'!J$1&amp;", ","")&amp;
IF(INDEX('ETAPA OBRA'!K:K,MATCH($B77,'ETAPA OBRA'!$B:$B,0))="x",'ETAPA OBRA'!K$1&amp;", ","")&amp;
IF(INDEX('ETAPA OBRA'!L:L,MATCH($B77,'ETAPA OBRA'!$B:$B,0))="x",'ETAPA OBRA'!L$1&amp;", ","")&amp;
IF(INDEX('ETAPA OBRA'!M:M,MATCH($B77,'ETAPA OBRA'!$B:$B,0))="x",'ETAPA OBRA'!M$1&amp;", ","")&amp;
IF(INDEX('ETAPA OBRA'!N:N,MATCH($B77,'ETAPA OBRA'!$B:$B,0))="x",'ETAPA OBRA'!N$1&amp;", ","")&amp;
IF(INDEX('ETAPA OBRA'!O:O,MATCH($B77,'ETAPA OBRA'!$B:$B,0))="x",'ETAPA OBRA'!O$1&amp;", ","")&amp;
IF(INDEX('ETAPA OBRA'!P:P,MATCH($B77,'ETAPA OBRA'!$B:$B,0))="x",'ETAPA OBRA'!P$1&amp;", ","")&amp;
IF(INDEX('ETAPA OBRA'!Q:Q,MATCH($B77,'ETAPA OBRA'!$B:$B,0))="x",'ETAPA OBRA'!Q$1&amp;", ","")&amp;
IF(INDEX('ETAPA OBRA'!R:R,MATCH($B77,'ETAPA OBRA'!$B:$B,0))="x",'ETAPA OBRA'!R$1&amp;", ","")&amp;
IF(INDEX('ETAPA OBRA'!S:S,MATCH($B77,'ETAPA OBRA'!$B:$B,0))="x",'ETAPA OBRA'!S$1&amp;", ","")&amp;
IF(INDEX('ETAPA OBRA'!T:T,MATCH($B77,'ETAPA OBRA'!$B:$B,0))="x",'ETAPA OBRA'!T$1&amp;", ","")&amp;
IF(INDEX('ETAPA OBRA'!U:U,MATCH($B77,'ETAPA OBRA'!$B:$B,0))="x",'ETAPA OBRA'!U$1&amp;", ","")
)-2),"")</f>
        <v>Finalizado</v>
      </c>
      <c r="N77" s="23" t="str">
        <f t="shared" si="9"/>
        <v>Finalizado</v>
      </c>
      <c r="O77" s="28">
        <v>13364</v>
      </c>
      <c r="P77" s="37">
        <f t="shared" si="10"/>
        <v>10839.73</v>
      </c>
      <c r="Q77" s="28">
        <f t="shared" si="11"/>
        <v>2524.2700000000004</v>
      </c>
      <c r="R77" s="29">
        <f t="shared" si="12"/>
        <v>0.18888581263094886</v>
      </c>
      <c r="S77" s="23" t="str">
        <f t="shared" si="13"/>
        <v>⚠️ Ajustar Custos (&lt;20%)</v>
      </c>
      <c r="T77" s="23" t="str">
        <f>Cronograma[[#This Row],[STATUS]]</f>
        <v>✅ CONCLUÍDO</v>
      </c>
    </row>
    <row r="78" spans="1:20" ht="15" customHeight="1" x14ac:dyDescent="0.3">
      <c r="A78" s="23">
        <v>82080010</v>
      </c>
      <c r="B78" s="23" t="str">
        <f>IF(A78&lt;&gt;"","contel-"&amp;TEXT(COUNTA($A$2:A78),"00"),"")</f>
        <v>contel-77</v>
      </c>
      <c r="C78" s="23" t="s">
        <v>35</v>
      </c>
      <c r="D78" s="23" t="s">
        <v>251</v>
      </c>
      <c r="E78" s="23" t="s">
        <v>252</v>
      </c>
      <c r="F78" s="52" t="s">
        <v>253</v>
      </c>
      <c r="G78" s="23">
        <v>1702</v>
      </c>
      <c r="H78" s="30">
        <v>13494</v>
      </c>
      <c r="I78" s="23" t="s">
        <v>63</v>
      </c>
      <c r="J78" s="25">
        <f>SUM(EQUIPE!C78,EQUIPE!E78,EQUIPE!G78,EQUIPE!I78,EQUIPE!K78,EQUIPE!M78,EQUIPE!O78)</f>
        <v>19600</v>
      </c>
      <c r="K78" s="25">
        <v>17213.189999999999</v>
      </c>
      <c r="L78" s="25">
        <v>0</v>
      </c>
      <c r="M78" s="27" t="str">
        <f>IFERROR(LEFT(
IF(INDEX('ETAPA OBRA'!C:C,MATCH($B78,'ETAPA OBRA'!$B:$B,0))="x",'ETAPA OBRA'!C$1&amp;", ","")&amp;
IF(INDEX('ETAPA OBRA'!D:D,MATCH($B78,'ETAPA OBRA'!$B:$B,0))="x",'ETAPA OBRA'!D$1&amp;", ","")&amp;
IF(INDEX('ETAPA OBRA'!F:F,MATCH($B78,'ETAPA OBRA'!$B:$B,0))="x",'ETAPA OBRA'!F$1&amp;", ","")&amp;
IF(INDEX('ETAPA OBRA'!G:G,MATCH($B78,'ETAPA OBRA'!$B:$B,0))="x",'ETAPA OBRA'!G$1&amp;", ","")&amp;
IF(INDEX('ETAPA OBRA'!H:H,MATCH($B78,'ETAPA OBRA'!$B:$B,0))="x",'ETAPA OBRA'!H$1&amp;", ","")&amp;
IF(INDEX('ETAPA OBRA'!I:I,MATCH($B78,'ETAPA OBRA'!$B:$B,0))="x",'ETAPA OBRA'!I$1&amp;", ","")&amp;
IF(INDEX('ETAPA OBRA'!J:J,MATCH($B78,'ETAPA OBRA'!$B:$B,0))="x",'ETAPA OBRA'!J$1&amp;", ","")&amp;
IF(INDEX('ETAPA OBRA'!K:K,MATCH($B78,'ETAPA OBRA'!$B:$B,0))="x",'ETAPA OBRA'!K$1&amp;", ","")&amp;
IF(INDEX('ETAPA OBRA'!L:L,MATCH($B78,'ETAPA OBRA'!$B:$B,0))="x",'ETAPA OBRA'!L$1&amp;", ","")&amp;
IF(INDEX('ETAPA OBRA'!M:M,MATCH($B78,'ETAPA OBRA'!$B:$B,0))="x",'ETAPA OBRA'!M$1&amp;", ","")&amp;
IF(INDEX('ETAPA OBRA'!N:N,MATCH($B78,'ETAPA OBRA'!$B:$B,0))="x",'ETAPA OBRA'!N$1&amp;", ","")&amp;
IF(INDEX('ETAPA OBRA'!O:O,MATCH($B78,'ETAPA OBRA'!$B:$B,0))="x",'ETAPA OBRA'!O$1&amp;", ","")&amp;
IF(INDEX('ETAPA OBRA'!P:P,MATCH($B78,'ETAPA OBRA'!$B:$B,0))="x",'ETAPA OBRA'!P$1&amp;", ","")&amp;
IF(INDEX('ETAPA OBRA'!Q:Q,MATCH($B78,'ETAPA OBRA'!$B:$B,0))="x",'ETAPA OBRA'!Q$1&amp;", ","")&amp;
IF(INDEX('ETAPA OBRA'!R:R,MATCH($B78,'ETAPA OBRA'!$B:$B,0))="x",'ETAPA OBRA'!R$1&amp;", ","")&amp;
IF(INDEX('ETAPA OBRA'!S:S,MATCH($B78,'ETAPA OBRA'!$B:$B,0))="x",'ETAPA OBRA'!S$1&amp;", ","")&amp;
IF(INDEX('ETAPA OBRA'!T:T,MATCH($B78,'ETAPA OBRA'!$B:$B,0))="x",'ETAPA OBRA'!T$1&amp;", ","")&amp;
IF(INDEX('ETAPA OBRA'!U:U,MATCH($B78,'ETAPA OBRA'!$B:$B,0))="x",'ETAPA OBRA'!U$1&amp;", ",""),LEN(
IF(INDEX('ETAPA OBRA'!C:C,MATCH($B78,'ETAPA OBRA'!$B:$B,0))="x",'ETAPA OBRA'!C$1&amp;", ","")&amp;
IF(INDEX('ETAPA OBRA'!D:D,MATCH($B78,'ETAPA OBRA'!$B:$B,0))="x",'ETAPA OBRA'!D$1&amp;", ","")&amp;
IF(INDEX('ETAPA OBRA'!F:F,MATCH($B78,'ETAPA OBRA'!$B:$B,0))="x",'ETAPA OBRA'!F$1&amp;", ","")&amp;
IF(INDEX('ETAPA OBRA'!G:G,MATCH($B78,'ETAPA OBRA'!$B:$B,0))="x",'ETAPA OBRA'!G$1&amp;", ","")&amp;
IF(INDEX('ETAPA OBRA'!H:H,MATCH($B78,'ETAPA OBRA'!$B:$B,0))="x",'ETAPA OBRA'!H$1&amp;", ","")&amp;
IF(INDEX('ETAPA OBRA'!I:I,MATCH($B78,'ETAPA OBRA'!$B:$B,0))="x",'ETAPA OBRA'!I$1&amp;", ","")&amp;
IF(INDEX('ETAPA OBRA'!J:J,MATCH($B78,'ETAPA OBRA'!$B:$B,0))="x",'ETAPA OBRA'!J$1&amp;", ","")&amp;
IF(INDEX('ETAPA OBRA'!K:K,MATCH($B78,'ETAPA OBRA'!$B:$B,0))="x",'ETAPA OBRA'!K$1&amp;", ","")&amp;
IF(INDEX('ETAPA OBRA'!L:L,MATCH($B78,'ETAPA OBRA'!$B:$B,0))="x",'ETAPA OBRA'!L$1&amp;", ","")&amp;
IF(INDEX('ETAPA OBRA'!M:M,MATCH($B78,'ETAPA OBRA'!$B:$B,0))="x",'ETAPA OBRA'!M$1&amp;", ","")&amp;
IF(INDEX('ETAPA OBRA'!N:N,MATCH($B78,'ETAPA OBRA'!$B:$B,0))="x",'ETAPA OBRA'!N$1&amp;", ","")&amp;
IF(INDEX('ETAPA OBRA'!O:O,MATCH($B78,'ETAPA OBRA'!$B:$B,0))="x",'ETAPA OBRA'!O$1&amp;", ","")&amp;
IF(INDEX('ETAPA OBRA'!P:P,MATCH($B78,'ETAPA OBRA'!$B:$B,0))="x",'ETAPA OBRA'!P$1&amp;", ","")&amp;
IF(INDEX('ETAPA OBRA'!Q:Q,MATCH($B78,'ETAPA OBRA'!$B:$B,0))="x",'ETAPA OBRA'!Q$1&amp;", ","")&amp;
IF(INDEX('ETAPA OBRA'!R:R,MATCH($B78,'ETAPA OBRA'!$B:$B,0))="x",'ETAPA OBRA'!R$1&amp;", ","")&amp;
IF(INDEX('ETAPA OBRA'!S:S,MATCH($B78,'ETAPA OBRA'!$B:$B,0))="x",'ETAPA OBRA'!S$1&amp;", ","")&amp;
IF(INDEX('ETAPA OBRA'!T:T,MATCH($B78,'ETAPA OBRA'!$B:$B,0))="x",'ETAPA OBRA'!T$1&amp;", ","")&amp;
IF(INDEX('ETAPA OBRA'!U:U,MATCH($B78,'ETAPA OBRA'!$B:$B,0))="x",'ETAPA OBRA'!U$1&amp;", ","")
)-2),"")</f>
        <v>Finalizado</v>
      </c>
      <c r="N78" s="23" t="str">
        <f t="shared" si="9"/>
        <v>Finalizado</v>
      </c>
      <c r="O78" s="28">
        <v>149672.76</v>
      </c>
      <c r="P78" s="37">
        <f t="shared" si="10"/>
        <v>36813.19</v>
      </c>
      <c r="Q78" s="28">
        <f t="shared" si="11"/>
        <v>112859.57</v>
      </c>
      <c r="R78" s="29">
        <f t="shared" si="12"/>
        <v>0.75404215169146338</v>
      </c>
      <c r="S78" s="23" t="str">
        <f t="shared" si="13"/>
        <v>✅ OK - Fechar Parceiro</v>
      </c>
      <c r="T78" s="23" t="str">
        <f>Cronograma[[#This Row],[STATUS]]</f>
        <v>✅ CONCLUÍDO</v>
      </c>
    </row>
    <row r="79" spans="1:20" ht="15" customHeight="1" x14ac:dyDescent="0.3">
      <c r="A79" s="23" t="s">
        <v>254</v>
      </c>
      <c r="B79" s="23" t="str">
        <f>IF(A79&lt;&gt;"","contel-"&amp;TEXT(COUNTA($A$2:A79),"00"),"")</f>
        <v>contel-78</v>
      </c>
      <c r="C79" s="23" t="s">
        <v>255</v>
      </c>
      <c r="D79" s="23" t="s">
        <v>112</v>
      </c>
      <c r="E79" s="23" t="s">
        <v>75</v>
      </c>
      <c r="F79" s="52" t="s">
        <v>256</v>
      </c>
      <c r="G79" s="23">
        <v>1870</v>
      </c>
      <c r="H79" s="30">
        <v>26566</v>
      </c>
      <c r="I79" s="23" t="s">
        <v>34</v>
      </c>
      <c r="J79" s="25">
        <f>SUM(EQUIPE!C79,EQUIPE!E79,EQUIPE!G79,EQUIPE!I79,EQUIPE!K79,EQUIPE!M79,EQUIPE!O79)</f>
        <v>2600</v>
      </c>
      <c r="K79" s="25">
        <v>0</v>
      </c>
      <c r="L79" s="25">
        <v>0</v>
      </c>
      <c r="M79" s="27" t="str">
        <f>IFERROR(LEFT(
IF(INDEX('ETAPA OBRA'!C:C,MATCH($B79,'ETAPA OBRA'!$B:$B,0))="x",'ETAPA OBRA'!C$1&amp;", ","")&amp;
IF(INDEX('ETAPA OBRA'!D:D,MATCH($B79,'ETAPA OBRA'!$B:$B,0))="x",'ETAPA OBRA'!D$1&amp;", ","")&amp;
IF(INDEX('ETAPA OBRA'!F:F,MATCH($B79,'ETAPA OBRA'!$B:$B,0))="x",'ETAPA OBRA'!F$1&amp;", ","")&amp;
IF(INDEX('ETAPA OBRA'!G:G,MATCH($B79,'ETAPA OBRA'!$B:$B,0))="x",'ETAPA OBRA'!G$1&amp;", ","")&amp;
IF(INDEX('ETAPA OBRA'!H:H,MATCH($B79,'ETAPA OBRA'!$B:$B,0))="x",'ETAPA OBRA'!H$1&amp;", ","")&amp;
IF(INDEX('ETAPA OBRA'!I:I,MATCH($B79,'ETAPA OBRA'!$B:$B,0))="x",'ETAPA OBRA'!I$1&amp;", ","")&amp;
IF(INDEX('ETAPA OBRA'!J:J,MATCH($B79,'ETAPA OBRA'!$B:$B,0))="x",'ETAPA OBRA'!J$1&amp;", ","")&amp;
IF(INDEX('ETAPA OBRA'!K:K,MATCH($B79,'ETAPA OBRA'!$B:$B,0))="x",'ETAPA OBRA'!K$1&amp;", ","")&amp;
IF(INDEX('ETAPA OBRA'!L:L,MATCH($B79,'ETAPA OBRA'!$B:$B,0))="x",'ETAPA OBRA'!L$1&amp;", ","")&amp;
IF(INDEX('ETAPA OBRA'!M:M,MATCH($B79,'ETAPA OBRA'!$B:$B,0))="x",'ETAPA OBRA'!M$1&amp;", ","")&amp;
IF(INDEX('ETAPA OBRA'!N:N,MATCH($B79,'ETAPA OBRA'!$B:$B,0))="x",'ETAPA OBRA'!N$1&amp;", ","")&amp;
IF(INDEX('ETAPA OBRA'!O:O,MATCH($B79,'ETAPA OBRA'!$B:$B,0))="x",'ETAPA OBRA'!O$1&amp;", ","")&amp;
IF(INDEX('ETAPA OBRA'!P:P,MATCH($B79,'ETAPA OBRA'!$B:$B,0))="x",'ETAPA OBRA'!P$1&amp;", ","")&amp;
IF(INDEX('ETAPA OBRA'!Q:Q,MATCH($B79,'ETAPA OBRA'!$B:$B,0))="x",'ETAPA OBRA'!Q$1&amp;", ","")&amp;
IF(INDEX('ETAPA OBRA'!R:R,MATCH($B79,'ETAPA OBRA'!$B:$B,0))="x",'ETAPA OBRA'!R$1&amp;", ","")&amp;
IF(INDEX('ETAPA OBRA'!S:S,MATCH($B79,'ETAPA OBRA'!$B:$B,0))="x",'ETAPA OBRA'!S$1&amp;", ","")&amp;
IF(INDEX('ETAPA OBRA'!T:T,MATCH($B79,'ETAPA OBRA'!$B:$B,0))="x",'ETAPA OBRA'!T$1&amp;", ","")&amp;
IF(INDEX('ETAPA OBRA'!U:U,MATCH($B79,'ETAPA OBRA'!$B:$B,0))="x",'ETAPA OBRA'!U$1&amp;", ",""),LEN(
IF(INDEX('ETAPA OBRA'!C:C,MATCH($B79,'ETAPA OBRA'!$B:$B,0))="x",'ETAPA OBRA'!C$1&amp;", ","")&amp;
IF(INDEX('ETAPA OBRA'!D:D,MATCH($B79,'ETAPA OBRA'!$B:$B,0))="x",'ETAPA OBRA'!D$1&amp;", ","")&amp;
IF(INDEX('ETAPA OBRA'!F:F,MATCH($B79,'ETAPA OBRA'!$B:$B,0))="x",'ETAPA OBRA'!F$1&amp;", ","")&amp;
IF(INDEX('ETAPA OBRA'!G:G,MATCH($B79,'ETAPA OBRA'!$B:$B,0))="x",'ETAPA OBRA'!G$1&amp;", ","")&amp;
IF(INDEX('ETAPA OBRA'!H:H,MATCH($B79,'ETAPA OBRA'!$B:$B,0))="x",'ETAPA OBRA'!H$1&amp;", ","")&amp;
IF(INDEX('ETAPA OBRA'!I:I,MATCH($B79,'ETAPA OBRA'!$B:$B,0))="x",'ETAPA OBRA'!I$1&amp;", ","")&amp;
IF(INDEX('ETAPA OBRA'!J:J,MATCH($B79,'ETAPA OBRA'!$B:$B,0))="x",'ETAPA OBRA'!J$1&amp;", ","")&amp;
IF(INDEX('ETAPA OBRA'!K:K,MATCH($B79,'ETAPA OBRA'!$B:$B,0))="x",'ETAPA OBRA'!K$1&amp;", ","")&amp;
IF(INDEX('ETAPA OBRA'!L:L,MATCH($B79,'ETAPA OBRA'!$B:$B,0))="x",'ETAPA OBRA'!L$1&amp;", ","")&amp;
IF(INDEX('ETAPA OBRA'!M:M,MATCH($B79,'ETAPA OBRA'!$B:$B,0))="x",'ETAPA OBRA'!M$1&amp;", ","")&amp;
IF(INDEX('ETAPA OBRA'!N:N,MATCH($B79,'ETAPA OBRA'!$B:$B,0))="x",'ETAPA OBRA'!N$1&amp;", ","")&amp;
IF(INDEX('ETAPA OBRA'!O:O,MATCH($B79,'ETAPA OBRA'!$B:$B,0))="x",'ETAPA OBRA'!O$1&amp;", ","")&amp;
IF(INDEX('ETAPA OBRA'!P:P,MATCH($B79,'ETAPA OBRA'!$B:$B,0))="x",'ETAPA OBRA'!P$1&amp;", ","")&amp;
IF(INDEX('ETAPA OBRA'!Q:Q,MATCH($B79,'ETAPA OBRA'!$B:$B,0))="x",'ETAPA OBRA'!Q$1&amp;", ","")&amp;
IF(INDEX('ETAPA OBRA'!R:R,MATCH($B79,'ETAPA OBRA'!$B:$B,0))="x",'ETAPA OBRA'!R$1&amp;", ","")&amp;
IF(INDEX('ETAPA OBRA'!S:S,MATCH($B79,'ETAPA OBRA'!$B:$B,0))="x",'ETAPA OBRA'!S$1&amp;", ","")&amp;
IF(INDEX('ETAPA OBRA'!T:T,MATCH($B79,'ETAPA OBRA'!$B:$B,0))="x",'ETAPA OBRA'!T$1&amp;", ","")&amp;
IF(INDEX('ETAPA OBRA'!U:U,MATCH($B79,'ETAPA OBRA'!$B:$B,0))="x",'ETAPA OBRA'!U$1&amp;", ","")
)-2),"")</f>
        <v>Finalizado</v>
      </c>
      <c r="N79" s="23" t="str">
        <f t="shared" si="9"/>
        <v>Finalizado</v>
      </c>
      <c r="O79" s="28">
        <v>10000</v>
      </c>
      <c r="P79" s="37">
        <f t="shared" si="10"/>
        <v>2600</v>
      </c>
      <c r="Q79" s="28">
        <f t="shared" si="11"/>
        <v>7400</v>
      </c>
      <c r="R79" s="29">
        <f t="shared" si="12"/>
        <v>0.74</v>
      </c>
      <c r="S79" s="23" t="str">
        <f t="shared" si="13"/>
        <v>✅ OK - Fechar Parceiro</v>
      </c>
      <c r="T79" s="23" t="str">
        <f>Cronograma[[#This Row],[STATUS]]</f>
        <v>✅ CONCLUÍDO</v>
      </c>
    </row>
    <row r="80" spans="1:20" ht="15" customHeight="1" x14ac:dyDescent="0.3">
      <c r="A80" s="23" t="s">
        <v>257</v>
      </c>
      <c r="B80" s="23" t="str">
        <f>IF(A80&lt;&gt;"","contel-"&amp;TEXT(COUNTA($A$2:A80),"00"),"")</f>
        <v>contel-79</v>
      </c>
      <c r="C80" s="23" t="s">
        <v>78</v>
      </c>
      <c r="D80" s="23" t="s">
        <v>96</v>
      </c>
      <c r="E80" s="23" t="s">
        <v>97</v>
      </c>
      <c r="F80" s="52" t="s">
        <v>258</v>
      </c>
      <c r="G80" s="23">
        <v>1873</v>
      </c>
      <c r="H80" s="30">
        <v>26595</v>
      </c>
      <c r="I80" s="23" t="s">
        <v>63</v>
      </c>
      <c r="J80" s="25">
        <f>SUM(EQUIPE!C80,EQUIPE!E80,EQUIPE!G80,EQUIPE!I80,EQUIPE!K80,EQUIPE!M80,EQUIPE!O80)</f>
        <v>15000</v>
      </c>
      <c r="K80" s="25">
        <v>8358.42</v>
      </c>
      <c r="L80" s="25">
        <v>0</v>
      </c>
      <c r="M80" s="27" t="str">
        <f>IFERROR(LEFT(
IF(INDEX('ETAPA OBRA'!C:C,MATCH($B80,'ETAPA OBRA'!$B:$B,0))="x",'ETAPA OBRA'!C$1&amp;", ","")&amp;
IF(INDEX('ETAPA OBRA'!D:D,MATCH($B80,'ETAPA OBRA'!$B:$B,0))="x",'ETAPA OBRA'!D$1&amp;", ","")&amp;
IF(INDEX('ETAPA OBRA'!F:F,MATCH($B80,'ETAPA OBRA'!$B:$B,0))="x",'ETAPA OBRA'!F$1&amp;", ","")&amp;
IF(INDEX('ETAPA OBRA'!G:G,MATCH($B80,'ETAPA OBRA'!$B:$B,0))="x",'ETAPA OBRA'!G$1&amp;", ","")&amp;
IF(INDEX('ETAPA OBRA'!H:H,MATCH($B80,'ETAPA OBRA'!$B:$B,0))="x",'ETAPA OBRA'!H$1&amp;", ","")&amp;
IF(INDEX('ETAPA OBRA'!I:I,MATCH($B80,'ETAPA OBRA'!$B:$B,0))="x",'ETAPA OBRA'!I$1&amp;", ","")&amp;
IF(INDEX('ETAPA OBRA'!J:J,MATCH($B80,'ETAPA OBRA'!$B:$B,0))="x",'ETAPA OBRA'!J$1&amp;", ","")&amp;
IF(INDEX('ETAPA OBRA'!K:K,MATCH($B80,'ETAPA OBRA'!$B:$B,0))="x",'ETAPA OBRA'!K$1&amp;", ","")&amp;
IF(INDEX('ETAPA OBRA'!L:L,MATCH($B80,'ETAPA OBRA'!$B:$B,0))="x",'ETAPA OBRA'!L$1&amp;", ","")&amp;
IF(INDEX('ETAPA OBRA'!M:M,MATCH($B80,'ETAPA OBRA'!$B:$B,0))="x",'ETAPA OBRA'!M$1&amp;", ","")&amp;
IF(INDEX('ETAPA OBRA'!N:N,MATCH($B80,'ETAPA OBRA'!$B:$B,0))="x",'ETAPA OBRA'!N$1&amp;", ","")&amp;
IF(INDEX('ETAPA OBRA'!O:O,MATCH($B80,'ETAPA OBRA'!$B:$B,0))="x",'ETAPA OBRA'!O$1&amp;", ","")&amp;
IF(INDEX('ETAPA OBRA'!P:P,MATCH($B80,'ETAPA OBRA'!$B:$B,0))="x",'ETAPA OBRA'!P$1&amp;", ","")&amp;
IF(INDEX('ETAPA OBRA'!Q:Q,MATCH($B80,'ETAPA OBRA'!$B:$B,0))="x",'ETAPA OBRA'!Q$1&amp;", ","")&amp;
IF(INDEX('ETAPA OBRA'!R:R,MATCH($B80,'ETAPA OBRA'!$B:$B,0))="x",'ETAPA OBRA'!R$1&amp;", ","")&amp;
IF(INDEX('ETAPA OBRA'!S:S,MATCH($B80,'ETAPA OBRA'!$B:$B,0))="x",'ETAPA OBRA'!S$1&amp;", ","")&amp;
IF(INDEX('ETAPA OBRA'!T:T,MATCH($B80,'ETAPA OBRA'!$B:$B,0))="x",'ETAPA OBRA'!T$1&amp;", ","")&amp;
IF(INDEX('ETAPA OBRA'!U:U,MATCH($B80,'ETAPA OBRA'!$B:$B,0))="x",'ETAPA OBRA'!U$1&amp;", ",""),LEN(
IF(INDEX('ETAPA OBRA'!C:C,MATCH($B80,'ETAPA OBRA'!$B:$B,0))="x",'ETAPA OBRA'!C$1&amp;", ","")&amp;
IF(INDEX('ETAPA OBRA'!D:D,MATCH($B80,'ETAPA OBRA'!$B:$B,0))="x",'ETAPA OBRA'!D$1&amp;", ","")&amp;
IF(INDEX('ETAPA OBRA'!F:F,MATCH($B80,'ETAPA OBRA'!$B:$B,0))="x",'ETAPA OBRA'!F$1&amp;", ","")&amp;
IF(INDEX('ETAPA OBRA'!G:G,MATCH($B80,'ETAPA OBRA'!$B:$B,0))="x",'ETAPA OBRA'!G$1&amp;", ","")&amp;
IF(INDEX('ETAPA OBRA'!H:H,MATCH($B80,'ETAPA OBRA'!$B:$B,0))="x",'ETAPA OBRA'!H$1&amp;", ","")&amp;
IF(INDEX('ETAPA OBRA'!I:I,MATCH($B80,'ETAPA OBRA'!$B:$B,0))="x",'ETAPA OBRA'!I$1&amp;", ","")&amp;
IF(INDEX('ETAPA OBRA'!J:J,MATCH($B80,'ETAPA OBRA'!$B:$B,0))="x",'ETAPA OBRA'!J$1&amp;", ","")&amp;
IF(INDEX('ETAPA OBRA'!K:K,MATCH($B80,'ETAPA OBRA'!$B:$B,0))="x",'ETAPA OBRA'!K$1&amp;", ","")&amp;
IF(INDEX('ETAPA OBRA'!L:L,MATCH($B80,'ETAPA OBRA'!$B:$B,0))="x",'ETAPA OBRA'!L$1&amp;", ","")&amp;
IF(INDEX('ETAPA OBRA'!M:M,MATCH($B80,'ETAPA OBRA'!$B:$B,0))="x",'ETAPA OBRA'!M$1&amp;", ","")&amp;
IF(INDEX('ETAPA OBRA'!N:N,MATCH($B80,'ETAPA OBRA'!$B:$B,0))="x",'ETAPA OBRA'!N$1&amp;", ","")&amp;
IF(INDEX('ETAPA OBRA'!O:O,MATCH($B80,'ETAPA OBRA'!$B:$B,0))="x",'ETAPA OBRA'!O$1&amp;", ","")&amp;
IF(INDEX('ETAPA OBRA'!P:P,MATCH($B80,'ETAPA OBRA'!$B:$B,0))="x",'ETAPA OBRA'!P$1&amp;", ","")&amp;
IF(INDEX('ETAPA OBRA'!Q:Q,MATCH($B80,'ETAPA OBRA'!$B:$B,0))="x",'ETAPA OBRA'!Q$1&amp;", ","")&amp;
IF(INDEX('ETAPA OBRA'!R:R,MATCH($B80,'ETAPA OBRA'!$B:$B,0))="x",'ETAPA OBRA'!R$1&amp;", ","")&amp;
IF(INDEX('ETAPA OBRA'!S:S,MATCH($B80,'ETAPA OBRA'!$B:$B,0))="x",'ETAPA OBRA'!S$1&amp;", ","")&amp;
IF(INDEX('ETAPA OBRA'!T:T,MATCH($B80,'ETAPA OBRA'!$B:$B,0))="x",'ETAPA OBRA'!T$1&amp;", ","")&amp;
IF(INDEX('ETAPA OBRA'!U:U,MATCH($B80,'ETAPA OBRA'!$B:$B,0))="x",'ETAPA OBRA'!U$1&amp;", ","")
)-2),"")</f>
        <v>Paralisada</v>
      </c>
      <c r="N80" s="23" t="str">
        <f t="shared" si="9"/>
        <v>Paralisada</v>
      </c>
      <c r="O80" s="28">
        <v>111450.33</v>
      </c>
      <c r="P80" s="37">
        <f t="shared" si="10"/>
        <v>23358.42</v>
      </c>
      <c r="Q80" s="28">
        <f t="shared" si="11"/>
        <v>88091.91</v>
      </c>
      <c r="R80" s="29">
        <f t="shared" si="12"/>
        <v>0.79041407952762455</v>
      </c>
      <c r="S80" s="23" t="str">
        <f t="shared" si="13"/>
        <v>✅ OK - Fechar Parceiro</v>
      </c>
      <c r="T80" s="23" t="str">
        <f>Cronograma[[#This Row],[STATUS]]</f>
        <v>⚠️ PARALISADO</v>
      </c>
    </row>
    <row r="81" spans="1:20" ht="15" customHeight="1" x14ac:dyDescent="0.3">
      <c r="A81" s="23" t="s">
        <v>259</v>
      </c>
      <c r="B81" s="23" t="str">
        <f>IF(A81&lt;&gt;"","contel-"&amp;TEXT(COUNTA($A$2:A81),"00"),"")</f>
        <v>contel-80</v>
      </c>
      <c r="C81" s="23" t="s">
        <v>78</v>
      </c>
      <c r="D81" s="23" t="s">
        <v>260</v>
      </c>
      <c r="E81" s="23" t="s">
        <v>188</v>
      </c>
      <c r="F81" s="52" t="s">
        <v>261</v>
      </c>
      <c r="G81" s="23">
        <v>1877</v>
      </c>
      <c r="H81" s="30">
        <v>26622</v>
      </c>
      <c r="I81" s="23" t="s">
        <v>25</v>
      </c>
      <c r="J81" s="25">
        <f>SUM(EQUIPE!C81,EQUIPE!E81,EQUIPE!G81,EQUIPE!I81,EQUIPE!K81,EQUIPE!M81,EQUIPE!O81)</f>
        <v>5460</v>
      </c>
      <c r="K81" s="25">
        <v>0</v>
      </c>
      <c r="L81" s="25">
        <v>0</v>
      </c>
      <c r="M81" s="27" t="str">
        <f ca="1">IFERROR(LEFT(
IF(INDEX('ETAPA OBRA'!C:C,MATCH($B81,'ETAPA OBRA'!$B:$B,0))="x",'ETAPA OBRA'!C$1&amp;", ","")&amp;
IF(INDEX('ETAPA OBRA'!D:D,MATCH($B81,'ETAPA OBRA'!$B:$B,0))="x",'ETAPA OBRA'!D$1&amp;", ","")&amp;
IF(INDEX('ETAPA OBRA'!F:F,MATCH($B81,'ETAPA OBRA'!$B:$B,0))="x",'ETAPA OBRA'!F$1&amp;", ","")&amp;
IF(INDEX('ETAPA OBRA'!G:G,MATCH($B81,'ETAPA OBRA'!$B:$B,0))="x",'ETAPA OBRA'!G$1&amp;", ","")&amp;
IF(INDEX('ETAPA OBRA'!H:H,MATCH($B81,'ETAPA OBRA'!$B:$B,0))="x",'ETAPA OBRA'!H$1&amp;", ","")&amp;
IF(INDEX('ETAPA OBRA'!I:I,MATCH($B81,'ETAPA OBRA'!$B:$B,0))="x",'ETAPA OBRA'!I$1&amp;", ","")&amp;
IF(INDEX('ETAPA OBRA'!J:J,MATCH($B81,'ETAPA OBRA'!$B:$B,0))="x",'ETAPA OBRA'!J$1&amp;", ","")&amp;
IF(INDEX('ETAPA OBRA'!K:K,MATCH($B81,'ETAPA OBRA'!$B:$B,0))="x",'ETAPA OBRA'!K$1&amp;", ","")&amp;
IF(INDEX('ETAPA OBRA'!L:L,MATCH($B81,'ETAPA OBRA'!$B:$B,0))="x",'ETAPA OBRA'!L$1&amp;", ","")&amp;
IF(INDEX('ETAPA OBRA'!M:M,MATCH($B81,'ETAPA OBRA'!$B:$B,0))="x",'ETAPA OBRA'!M$1&amp;", ","")&amp;
IF(INDEX('ETAPA OBRA'!N:N,MATCH($B81,'ETAPA OBRA'!$B:$B,0))="x",'ETAPA OBRA'!N$1&amp;", ","")&amp;
IF(INDEX('ETAPA OBRA'!O:O,MATCH($B81,'ETAPA OBRA'!$B:$B,0))="x",'ETAPA OBRA'!O$1&amp;", ","")&amp;
IF(INDEX('ETAPA OBRA'!P:P,MATCH($B81,'ETAPA OBRA'!$B:$B,0))="x",'ETAPA OBRA'!P$1&amp;", ","")&amp;
IF(INDEX('ETAPA OBRA'!Q:Q,MATCH($B81,'ETAPA OBRA'!$B:$B,0))="x",'ETAPA OBRA'!Q$1&amp;", ","")&amp;
IF(INDEX('ETAPA OBRA'!R:R,MATCH($B81,'ETAPA OBRA'!$B:$B,0))="x",'ETAPA OBRA'!R$1&amp;", ","")&amp;
IF(INDEX('ETAPA OBRA'!S:S,MATCH($B81,'ETAPA OBRA'!$B:$B,0))="x",'ETAPA OBRA'!S$1&amp;", ","")&amp;
IF(INDEX('ETAPA OBRA'!T:T,MATCH($B81,'ETAPA OBRA'!$B:$B,0))="x",'ETAPA OBRA'!T$1&amp;", ","")&amp;
IF(INDEX('ETAPA OBRA'!U:U,MATCH($B81,'ETAPA OBRA'!$B:$B,0))="x",'ETAPA OBRA'!U$1&amp;", ",""),LEN(
IF(INDEX('ETAPA OBRA'!C:C,MATCH($B81,'ETAPA OBRA'!$B:$B,0))="x",'ETAPA OBRA'!C$1&amp;", ","")&amp;
IF(INDEX('ETAPA OBRA'!D:D,MATCH($B81,'ETAPA OBRA'!$B:$B,0))="x",'ETAPA OBRA'!D$1&amp;", ","")&amp;
IF(INDEX('ETAPA OBRA'!F:F,MATCH($B81,'ETAPA OBRA'!$B:$B,0))="x",'ETAPA OBRA'!F$1&amp;", ","")&amp;
IF(INDEX('ETAPA OBRA'!G:G,MATCH($B81,'ETAPA OBRA'!$B:$B,0))="x",'ETAPA OBRA'!G$1&amp;", ","")&amp;
IF(INDEX('ETAPA OBRA'!H:H,MATCH($B81,'ETAPA OBRA'!$B:$B,0))="x",'ETAPA OBRA'!H$1&amp;", ","")&amp;
IF(INDEX('ETAPA OBRA'!I:I,MATCH($B81,'ETAPA OBRA'!$B:$B,0))="x",'ETAPA OBRA'!I$1&amp;", ","")&amp;
IF(INDEX('ETAPA OBRA'!J:J,MATCH($B81,'ETAPA OBRA'!$B:$B,0))="x",'ETAPA OBRA'!J$1&amp;", ","")&amp;
IF(INDEX('ETAPA OBRA'!K:K,MATCH($B81,'ETAPA OBRA'!$B:$B,0))="x",'ETAPA OBRA'!K$1&amp;", ","")&amp;
IF(INDEX('ETAPA OBRA'!L:L,MATCH($B81,'ETAPA OBRA'!$B:$B,0))="x",'ETAPA OBRA'!L$1&amp;", ","")&amp;
IF(INDEX('ETAPA OBRA'!M:M,MATCH($B81,'ETAPA OBRA'!$B:$B,0))="x",'ETAPA OBRA'!M$1&amp;", ","")&amp;
IF(INDEX('ETAPA OBRA'!N:N,MATCH($B81,'ETAPA OBRA'!$B:$B,0))="x",'ETAPA OBRA'!N$1&amp;", ","")&amp;
IF(INDEX('ETAPA OBRA'!O:O,MATCH($B81,'ETAPA OBRA'!$B:$B,0))="x",'ETAPA OBRA'!O$1&amp;", ","")&amp;
IF(INDEX('ETAPA OBRA'!P:P,MATCH($B81,'ETAPA OBRA'!$B:$B,0))="x",'ETAPA OBRA'!P$1&amp;", ","")&amp;
IF(INDEX('ETAPA OBRA'!Q:Q,MATCH($B81,'ETAPA OBRA'!$B:$B,0))="x",'ETAPA OBRA'!Q$1&amp;", ","")&amp;
IF(INDEX('ETAPA OBRA'!R:R,MATCH($B81,'ETAPA OBRA'!$B:$B,0))="x",'ETAPA OBRA'!R$1&amp;", ","")&amp;
IF(INDEX('ETAPA OBRA'!S:S,MATCH($B81,'ETAPA OBRA'!$B:$B,0))="x",'ETAPA OBRA'!S$1&amp;", ","")&amp;
IF(INDEX('ETAPA OBRA'!T:T,MATCH($B81,'ETAPA OBRA'!$B:$B,0))="x",'ETAPA OBRA'!T$1&amp;", ","")&amp;
IF(INDEX('ETAPA OBRA'!U:U,MATCH($B81,'ETAPA OBRA'!$B:$B,0))="x",'ETAPA OBRA'!U$1&amp;", ","")
)-2),"")</f>
        <v>Projeto</v>
      </c>
      <c r="N81" s="23" t="str">
        <f t="shared" ca="1" si="9"/>
        <v>Em andamento</v>
      </c>
      <c r="O81" s="28">
        <v>16547.5</v>
      </c>
      <c r="P81" s="37">
        <f t="shared" si="10"/>
        <v>5460</v>
      </c>
      <c r="Q81" s="28">
        <f t="shared" si="11"/>
        <v>11087.5</v>
      </c>
      <c r="R81" s="29">
        <f t="shared" si="12"/>
        <v>0.67004079166037167</v>
      </c>
      <c r="S81" s="23" t="str">
        <f t="shared" si="13"/>
        <v>✅ OK - Fechar Parceiro</v>
      </c>
      <c r="T81" s="23" t="str">
        <f ca="1">Cronograma[[#This Row],[STATUS]]</f>
        <v>🕓 EM ANDAMENTO</v>
      </c>
    </row>
    <row r="82" spans="1:20" ht="15" customHeight="1" x14ac:dyDescent="0.3">
      <c r="A82" s="23" t="s">
        <v>262</v>
      </c>
      <c r="B82" s="23" t="str">
        <f>IF(A82&lt;&gt;"","contel-"&amp;TEXT(COUNTA($A$2:A82),"00"),"")</f>
        <v>contel-81</v>
      </c>
      <c r="C82" s="23" t="s">
        <v>78</v>
      </c>
      <c r="D82" s="23" t="s">
        <v>263</v>
      </c>
      <c r="E82" s="23" t="s">
        <v>117</v>
      </c>
      <c r="F82" s="52" t="s">
        <v>264</v>
      </c>
      <c r="G82" s="23">
        <v>1876</v>
      </c>
      <c r="H82" s="30">
        <v>26623</v>
      </c>
      <c r="I82" s="23" t="s">
        <v>25</v>
      </c>
      <c r="J82" s="25">
        <f>SUM(EQUIPE!C82,EQUIPE!E82,EQUIPE!G82,EQUIPE!I82,EQUIPE!K82,EQUIPE!M82,EQUIPE!O82)</f>
        <v>5360</v>
      </c>
      <c r="K82" s="25">
        <v>5000</v>
      </c>
      <c r="L82" s="25">
        <v>0</v>
      </c>
      <c r="M82" s="27" t="str">
        <f ca="1">IFERROR(LEFT(
IF(INDEX('ETAPA OBRA'!C:C,MATCH($B82,'ETAPA OBRA'!$B:$B,0))="x",'ETAPA OBRA'!C$1&amp;", ","")&amp;
IF(INDEX('ETAPA OBRA'!D:D,MATCH($B82,'ETAPA OBRA'!$B:$B,0))="x",'ETAPA OBRA'!D$1&amp;", ","")&amp;
IF(INDEX('ETAPA OBRA'!F:F,MATCH($B82,'ETAPA OBRA'!$B:$B,0))="x",'ETAPA OBRA'!F$1&amp;", ","")&amp;
IF(INDEX('ETAPA OBRA'!G:G,MATCH($B82,'ETAPA OBRA'!$B:$B,0))="x",'ETAPA OBRA'!G$1&amp;", ","")&amp;
IF(INDEX('ETAPA OBRA'!H:H,MATCH($B82,'ETAPA OBRA'!$B:$B,0))="x",'ETAPA OBRA'!H$1&amp;", ","")&amp;
IF(INDEX('ETAPA OBRA'!I:I,MATCH($B82,'ETAPA OBRA'!$B:$B,0))="x",'ETAPA OBRA'!I$1&amp;", ","")&amp;
IF(INDEX('ETAPA OBRA'!J:J,MATCH($B82,'ETAPA OBRA'!$B:$B,0))="x",'ETAPA OBRA'!J$1&amp;", ","")&amp;
IF(INDEX('ETAPA OBRA'!K:K,MATCH($B82,'ETAPA OBRA'!$B:$B,0))="x",'ETAPA OBRA'!K$1&amp;", ","")&amp;
IF(INDEX('ETAPA OBRA'!L:L,MATCH($B82,'ETAPA OBRA'!$B:$B,0))="x",'ETAPA OBRA'!L$1&amp;", ","")&amp;
IF(INDEX('ETAPA OBRA'!M:M,MATCH($B82,'ETAPA OBRA'!$B:$B,0))="x",'ETAPA OBRA'!M$1&amp;", ","")&amp;
IF(INDEX('ETAPA OBRA'!N:N,MATCH($B82,'ETAPA OBRA'!$B:$B,0))="x",'ETAPA OBRA'!N$1&amp;", ","")&amp;
IF(INDEX('ETAPA OBRA'!O:O,MATCH($B82,'ETAPA OBRA'!$B:$B,0))="x",'ETAPA OBRA'!O$1&amp;", ","")&amp;
IF(INDEX('ETAPA OBRA'!P:P,MATCH($B82,'ETAPA OBRA'!$B:$B,0))="x",'ETAPA OBRA'!P$1&amp;", ","")&amp;
IF(INDEX('ETAPA OBRA'!Q:Q,MATCH($B82,'ETAPA OBRA'!$B:$B,0))="x",'ETAPA OBRA'!Q$1&amp;", ","")&amp;
IF(INDEX('ETAPA OBRA'!R:R,MATCH($B82,'ETAPA OBRA'!$B:$B,0))="x",'ETAPA OBRA'!R$1&amp;", ","")&amp;
IF(INDEX('ETAPA OBRA'!S:S,MATCH($B82,'ETAPA OBRA'!$B:$B,0))="x",'ETAPA OBRA'!S$1&amp;", ","")&amp;
IF(INDEX('ETAPA OBRA'!T:T,MATCH($B82,'ETAPA OBRA'!$B:$B,0))="x",'ETAPA OBRA'!T$1&amp;", ","")&amp;
IF(INDEX('ETAPA OBRA'!U:U,MATCH($B82,'ETAPA OBRA'!$B:$B,0))="x",'ETAPA OBRA'!U$1&amp;", ",""),LEN(
IF(INDEX('ETAPA OBRA'!C:C,MATCH($B82,'ETAPA OBRA'!$B:$B,0))="x",'ETAPA OBRA'!C$1&amp;", ","")&amp;
IF(INDEX('ETAPA OBRA'!D:D,MATCH($B82,'ETAPA OBRA'!$B:$B,0))="x",'ETAPA OBRA'!D$1&amp;", ","")&amp;
IF(INDEX('ETAPA OBRA'!F:F,MATCH($B82,'ETAPA OBRA'!$B:$B,0))="x",'ETAPA OBRA'!F$1&amp;", ","")&amp;
IF(INDEX('ETAPA OBRA'!G:G,MATCH($B82,'ETAPA OBRA'!$B:$B,0))="x",'ETAPA OBRA'!G$1&amp;", ","")&amp;
IF(INDEX('ETAPA OBRA'!H:H,MATCH($B82,'ETAPA OBRA'!$B:$B,0))="x",'ETAPA OBRA'!H$1&amp;", ","")&amp;
IF(INDEX('ETAPA OBRA'!I:I,MATCH($B82,'ETAPA OBRA'!$B:$B,0))="x",'ETAPA OBRA'!I$1&amp;", ","")&amp;
IF(INDEX('ETAPA OBRA'!J:J,MATCH($B82,'ETAPA OBRA'!$B:$B,0))="x",'ETAPA OBRA'!J$1&amp;", ","")&amp;
IF(INDEX('ETAPA OBRA'!K:K,MATCH($B82,'ETAPA OBRA'!$B:$B,0))="x",'ETAPA OBRA'!K$1&amp;", ","")&amp;
IF(INDEX('ETAPA OBRA'!L:L,MATCH($B82,'ETAPA OBRA'!$B:$B,0))="x",'ETAPA OBRA'!L$1&amp;", ","")&amp;
IF(INDEX('ETAPA OBRA'!M:M,MATCH($B82,'ETAPA OBRA'!$B:$B,0))="x",'ETAPA OBRA'!M$1&amp;", ","")&amp;
IF(INDEX('ETAPA OBRA'!N:N,MATCH($B82,'ETAPA OBRA'!$B:$B,0))="x",'ETAPA OBRA'!N$1&amp;", ","")&amp;
IF(INDEX('ETAPA OBRA'!O:O,MATCH($B82,'ETAPA OBRA'!$B:$B,0))="x",'ETAPA OBRA'!O$1&amp;", ","")&amp;
IF(INDEX('ETAPA OBRA'!P:P,MATCH($B82,'ETAPA OBRA'!$B:$B,0))="x",'ETAPA OBRA'!P$1&amp;", ","")&amp;
IF(INDEX('ETAPA OBRA'!Q:Q,MATCH($B82,'ETAPA OBRA'!$B:$B,0))="x",'ETAPA OBRA'!Q$1&amp;", ","")&amp;
IF(INDEX('ETAPA OBRA'!R:R,MATCH($B82,'ETAPA OBRA'!$B:$B,0))="x",'ETAPA OBRA'!R$1&amp;", ","")&amp;
IF(INDEX('ETAPA OBRA'!S:S,MATCH($B82,'ETAPA OBRA'!$B:$B,0))="x",'ETAPA OBRA'!S$1&amp;", ","")&amp;
IF(INDEX('ETAPA OBRA'!T:T,MATCH($B82,'ETAPA OBRA'!$B:$B,0))="x",'ETAPA OBRA'!T$1&amp;", ","")&amp;
IF(INDEX('ETAPA OBRA'!U:U,MATCH($B82,'ETAPA OBRA'!$B:$B,0))="x",'ETAPA OBRA'!U$1&amp;", ","")
)-2),"")</f>
        <v>Projeto</v>
      </c>
      <c r="N82" s="23" t="str">
        <f t="shared" ca="1" si="9"/>
        <v>Em andamento</v>
      </c>
      <c r="O82" s="28">
        <v>22493.25</v>
      </c>
      <c r="P82" s="37">
        <f t="shared" si="10"/>
        <v>10360</v>
      </c>
      <c r="Q82" s="28">
        <f t="shared" si="11"/>
        <v>12133.25</v>
      </c>
      <c r="R82" s="29">
        <f t="shared" si="12"/>
        <v>0.53941738076978651</v>
      </c>
      <c r="S82" s="23" t="str">
        <f t="shared" si="13"/>
        <v>✅ OK - Fechar Parceiro</v>
      </c>
      <c r="T82" s="23" t="str">
        <f ca="1">Cronograma[[#This Row],[STATUS]]</f>
        <v>🕓 EM ANDAMENTO</v>
      </c>
    </row>
    <row r="83" spans="1:20" ht="15" customHeight="1" x14ac:dyDescent="0.3">
      <c r="A83" s="23" t="s">
        <v>265</v>
      </c>
      <c r="B83" s="23" t="str">
        <f>IF(A83&lt;&gt;"","contel-"&amp;TEXT(COUNTA($A$2:A83),"00"),"")</f>
        <v>contel-82</v>
      </c>
      <c r="C83" s="23" t="s">
        <v>78</v>
      </c>
      <c r="D83" s="23" t="s">
        <v>266</v>
      </c>
      <c r="E83" s="23" t="s">
        <v>125</v>
      </c>
      <c r="F83" s="52" t="s">
        <v>267</v>
      </c>
      <c r="G83" s="23">
        <v>1875</v>
      </c>
      <c r="H83" s="30">
        <v>26624</v>
      </c>
      <c r="I83" s="23" t="s">
        <v>25</v>
      </c>
      <c r="J83" s="25">
        <f>SUM(EQUIPE!C83,EQUIPE!E83,EQUIPE!G83,EQUIPE!I83,EQUIPE!K83,EQUIPE!M83,EQUIPE!O83)</f>
        <v>6460</v>
      </c>
      <c r="K83" s="25">
        <v>7800</v>
      </c>
      <c r="L83" s="25">
        <v>0</v>
      </c>
      <c r="M83" s="27" t="str">
        <f ca="1">IFERROR(LEFT(
IF(INDEX('ETAPA OBRA'!C:C,MATCH($B83,'ETAPA OBRA'!$B:$B,0))="x",'ETAPA OBRA'!C$1&amp;", ","")&amp;
IF(INDEX('ETAPA OBRA'!D:D,MATCH($B83,'ETAPA OBRA'!$B:$B,0))="x",'ETAPA OBRA'!D$1&amp;", ","")&amp;
IF(INDEX('ETAPA OBRA'!F:F,MATCH($B83,'ETAPA OBRA'!$B:$B,0))="x",'ETAPA OBRA'!F$1&amp;", ","")&amp;
IF(INDEX('ETAPA OBRA'!G:G,MATCH($B83,'ETAPA OBRA'!$B:$B,0))="x",'ETAPA OBRA'!G$1&amp;", ","")&amp;
IF(INDEX('ETAPA OBRA'!H:H,MATCH($B83,'ETAPA OBRA'!$B:$B,0))="x",'ETAPA OBRA'!H$1&amp;", ","")&amp;
IF(INDEX('ETAPA OBRA'!I:I,MATCH($B83,'ETAPA OBRA'!$B:$B,0))="x",'ETAPA OBRA'!I$1&amp;", ","")&amp;
IF(INDEX('ETAPA OBRA'!J:J,MATCH($B83,'ETAPA OBRA'!$B:$B,0))="x",'ETAPA OBRA'!J$1&amp;", ","")&amp;
IF(INDEX('ETAPA OBRA'!K:K,MATCH($B83,'ETAPA OBRA'!$B:$B,0))="x",'ETAPA OBRA'!K$1&amp;", ","")&amp;
IF(INDEX('ETAPA OBRA'!L:L,MATCH($B83,'ETAPA OBRA'!$B:$B,0))="x",'ETAPA OBRA'!L$1&amp;", ","")&amp;
IF(INDEX('ETAPA OBRA'!M:M,MATCH($B83,'ETAPA OBRA'!$B:$B,0))="x",'ETAPA OBRA'!M$1&amp;", ","")&amp;
IF(INDEX('ETAPA OBRA'!N:N,MATCH($B83,'ETAPA OBRA'!$B:$B,0))="x",'ETAPA OBRA'!N$1&amp;", ","")&amp;
IF(INDEX('ETAPA OBRA'!O:O,MATCH($B83,'ETAPA OBRA'!$B:$B,0))="x",'ETAPA OBRA'!O$1&amp;", ","")&amp;
IF(INDEX('ETAPA OBRA'!P:P,MATCH($B83,'ETAPA OBRA'!$B:$B,0))="x",'ETAPA OBRA'!P$1&amp;", ","")&amp;
IF(INDEX('ETAPA OBRA'!Q:Q,MATCH($B83,'ETAPA OBRA'!$B:$B,0))="x",'ETAPA OBRA'!Q$1&amp;", ","")&amp;
IF(INDEX('ETAPA OBRA'!R:R,MATCH($B83,'ETAPA OBRA'!$B:$B,0))="x",'ETAPA OBRA'!R$1&amp;", ","")&amp;
IF(INDEX('ETAPA OBRA'!S:S,MATCH($B83,'ETAPA OBRA'!$B:$B,0))="x",'ETAPA OBRA'!S$1&amp;", ","")&amp;
IF(INDEX('ETAPA OBRA'!T:T,MATCH($B83,'ETAPA OBRA'!$B:$B,0))="x",'ETAPA OBRA'!T$1&amp;", ","")&amp;
IF(INDEX('ETAPA OBRA'!U:U,MATCH($B83,'ETAPA OBRA'!$B:$B,0))="x",'ETAPA OBRA'!U$1&amp;", ",""),LEN(
IF(INDEX('ETAPA OBRA'!C:C,MATCH($B83,'ETAPA OBRA'!$B:$B,0))="x",'ETAPA OBRA'!C$1&amp;", ","")&amp;
IF(INDEX('ETAPA OBRA'!D:D,MATCH($B83,'ETAPA OBRA'!$B:$B,0))="x",'ETAPA OBRA'!D$1&amp;", ","")&amp;
IF(INDEX('ETAPA OBRA'!F:F,MATCH($B83,'ETAPA OBRA'!$B:$B,0))="x",'ETAPA OBRA'!F$1&amp;", ","")&amp;
IF(INDEX('ETAPA OBRA'!G:G,MATCH($B83,'ETAPA OBRA'!$B:$B,0))="x",'ETAPA OBRA'!G$1&amp;", ","")&amp;
IF(INDEX('ETAPA OBRA'!H:H,MATCH($B83,'ETAPA OBRA'!$B:$B,0))="x",'ETAPA OBRA'!H$1&amp;", ","")&amp;
IF(INDEX('ETAPA OBRA'!I:I,MATCH($B83,'ETAPA OBRA'!$B:$B,0))="x",'ETAPA OBRA'!I$1&amp;", ","")&amp;
IF(INDEX('ETAPA OBRA'!J:J,MATCH($B83,'ETAPA OBRA'!$B:$B,0))="x",'ETAPA OBRA'!J$1&amp;", ","")&amp;
IF(INDEX('ETAPA OBRA'!K:K,MATCH($B83,'ETAPA OBRA'!$B:$B,0))="x",'ETAPA OBRA'!K$1&amp;", ","")&amp;
IF(INDEX('ETAPA OBRA'!L:L,MATCH($B83,'ETAPA OBRA'!$B:$B,0))="x",'ETAPA OBRA'!L$1&amp;", ","")&amp;
IF(INDEX('ETAPA OBRA'!M:M,MATCH($B83,'ETAPA OBRA'!$B:$B,0))="x",'ETAPA OBRA'!M$1&amp;", ","")&amp;
IF(INDEX('ETAPA OBRA'!N:N,MATCH($B83,'ETAPA OBRA'!$B:$B,0))="x",'ETAPA OBRA'!N$1&amp;", ","")&amp;
IF(INDEX('ETAPA OBRA'!O:O,MATCH($B83,'ETAPA OBRA'!$B:$B,0))="x",'ETAPA OBRA'!O$1&amp;", ","")&amp;
IF(INDEX('ETAPA OBRA'!P:P,MATCH($B83,'ETAPA OBRA'!$B:$B,0))="x",'ETAPA OBRA'!P$1&amp;", ","")&amp;
IF(INDEX('ETAPA OBRA'!Q:Q,MATCH($B83,'ETAPA OBRA'!$B:$B,0))="x",'ETAPA OBRA'!Q$1&amp;", ","")&amp;
IF(INDEX('ETAPA OBRA'!R:R,MATCH($B83,'ETAPA OBRA'!$B:$B,0))="x",'ETAPA OBRA'!R$1&amp;", ","")&amp;
IF(INDEX('ETAPA OBRA'!S:S,MATCH($B83,'ETAPA OBRA'!$B:$B,0))="x",'ETAPA OBRA'!S$1&amp;", ","")&amp;
IF(INDEX('ETAPA OBRA'!T:T,MATCH($B83,'ETAPA OBRA'!$B:$B,0))="x",'ETAPA OBRA'!T$1&amp;", ","")&amp;
IF(INDEX('ETAPA OBRA'!U:U,MATCH($B83,'ETAPA OBRA'!$B:$B,0))="x",'ETAPA OBRA'!U$1&amp;", ","")
)-2),"")</f>
        <v>Projeto</v>
      </c>
      <c r="N83" s="23" t="str">
        <f t="shared" ca="1" si="9"/>
        <v>Em andamento</v>
      </c>
      <c r="O83" s="28">
        <v>22570</v>
      </c>
      <c r="P83" s="37">
        <f t="shared" si="10"/>
        <v>14260</v>
      </c>
      <c r="Q83" s="28">
        <f t="shared" si="11"/>
        <v>8310</v>
      </c>
      <c r="R83" s="29">
        <f t="shared" si="12"/>
        <v>0.36818785999113868</v>
      </c>
      <c r="S83" s="23" t="str">
        <f t="shared" si="13"/>
        <v>✅ OK - Fechar Parceiro</v>
      </c>
      <c r="T83" s="23" t="str">
        <f ca="1">Cronograma[[#This Row],[STATUS]]</f>
        <v>🕓 EM ANDAMENTO</v>
      </c>
    </row>
    <row r="84" spans="1:20" ht="15" customHeight="1" x14ac:dyDescent="0.3">
      <c r="A84" s="23" t="s">
        <v>268</v>
      </c>
      <c r="B84" s="23" t="str">
        <f>IF(A84&lt;&gt;"","contel-"&amp;TEXT(COUNTA($A$2:A84),"00"),"")</f>
        <v>contel-83</v>
      </c>
      <c r="C84" s="23" t="s">
        <v>21</v>
      </c>
      <c r="D84" s="23" t="s">
        <v>207</v>
      </c>
      <c r="E84" s="23" t="s">
        <v>28</v>
      </c>
      <c r="F84" s="52" t="s">
        <v>269</v>
      </c>
      <c r="G84" s="23">
        <v>1880</v>
      </c>
      <c r="H84" s="30">
        <v>26656</v>
      </c>
      <c r="I84" s="23" t="s">
        <v>63</v>
      </c>
      <c r="J84" s="25">
        <f>SUM(EQUIPE!C84,EQUIPE!E84,EQUIPE!G84,EQUIPE!I84,EQUIPE!K84,EQUIPE!M84,EQUIPE!O84)</f>
        <v>11000</v>
      </c>
      <c r="K84" s="25">
        <v>13897.5</v>
      </c>
      <c r="L84" s="25">
        <v>6211.48</v>
      </c>
      <c r="M84" s="27" t="str">
        <f>IFERROR(LEFT(
IF(INDEX('ETAPA OBRA'!C:C,MATCH($B84,'ETAPA OBRA'!$B:$B,0))="x",'ETAPA OBRA'!C$1&amp;", ","")&amp;
IF(INDEX('ETAPA OBRA'!D:D,MATCH($B84,'ETAPA OBRA'!$B:$B,0))="x",'ETAPA OBRA'!D$1&amp;", ","")&amp;
IF(INDEX('ETAPA OBRA'!F:F,MATCH($B84,'ETAPA OBRA'!$B:$B,0))="x",'ETAPA OBRA'!F$1&amp;", ","")&amp;
IF(INDEX('ETAPA OBRA'!G:G,MATCH($B84,'ETAPA OBRA'!$B:$B,0))="x",'ETAPA OBRA'!G$1&amp;", ","")&amp;
IF(INDEX('ETAPA OBRA'!H:H,MATCH($B84,'ETAPA OBRA'!$B:$B,0))="x",'ETAPA OBRA'!H$1&amp;", ","")&amp;
IF(INDEX('ETAPA OBRA'!I:I,MATCH($B84,'ETAPA OBRA'!$B:$B,0))="x",'ETAPA OBRA'!I$1&amp;", ","")&amp;
IF(INDEX('ETAPA OBRA'!J:J,MATCH($B84,'ETAPA OBRA'!$B:$B,0))="x",'ETAPA OBRA'!J$1&amp;", ","")&amp;
IF(INDEX('ETAPA OBRA'!K:K,MATCH($B84,'ETAPA OBRA'!$B:$B,0))="x",'ETAPA OBRA'!K$1&amp;", ","")&amp;
IF(INDEX('ETAPA OBRA'!L:L,MATCH($B84,'ETAPA OBRA'!$B:$B,0))="x",'ETAPA OBRA'!L$1&amp;", ","")&amp;
IF(INDEX('ETAPA OBRA'!M:M,MATCH($B84,'ETAPA OBRA'!$B:$B,0))="x",'ETAPA OBRA'!M$1&amp;", ","")&amp;
IF(INDEX('ETAPA OBRA'!N:N,MATCH($B84,'ETAPA OBRA'!$B:$B,0))="x",'ETAPA OBRA'!N$1&amp;", ","")&amp;
IF(INDEX('ETAPA OBRA'!O:O,MATCH($B84,'ETAPA OBRA'!$B:$B,0))="x",'ETAPA OBRA'!O$1&amp;", ","")&amp;
IF(INDEX('ETAPA OBRA'!P:P,MATCH($B84,'ETAPA OBRA'!$B:$B,0))="x",'ETAPA OBRA'!P$1&amp;", ","")&amp;
IF(INDEX('ETAPA OBRA'!Q:Q,MATCH($B84,'ETAPA OBRA'!$B:$B,0))="x",'ETAPA OBRA'!Q$1&amp;", ","")&amp;
IF(INDEX('ETAPA OBRA'!R:R,MATCH($B84,'ETAPA OBRA'!$B:$B,0))="x",'ETAPA OBRA'!R$1&amp;", ","")&amp;
IF(INDEX('ETAPA OBRA'!S:S,MATCH($B84,'ETAPA OBRA'!$B:$B,0))="x",'ETAPA OBRA'!S$1&amp;", ","")&amp;
IF(INDEX('ETAPA OBRA'!T:T,MATCH($B84,'ETAPA OBRA'!$B:$B,0))="x",'ETAPA OBRA'!T$1&amp;", ","")&amp;
IF(INDEX('ETAPA OBRA'!U:U,MATCH($B84,'ETAPA OBRA'!$B:$B,0))="x",'ETAPA OBRA'!U$1&amp;", ",""),LEN(
IF(INDEX('ETAPA OBRA'!C:C,MATCH($B84,'ETAPA OBRA'!$B:$B,0))="x",'ETAPA OBRA'!C$1&amp;", ","")&amp;
IF(INDEX('ETAPA OBRA'!D:D,MATCH($B84,'ETAPA OBRA'!$B:$B,0))="x",'ETAPA OBRA'!D$1&amp;", ","")&amp;
IF(INDEX('ETAPA OBRA'!F:F,MATCH($B84,'ETAPA OBRA'!$B:$B,0))="x",'ETAPA OBRA'!F$1&amp;", ","")&amp;
IF(INDEX('ETAPA OBRA'!G:G,MATCH($B84,'ETAPA OBRA'!$B:$B,0))="x",'ETAPA OBRA'!G$1&amp;", ","")&amp;
IF(INDEX('ETAPA OBRA'!H:H,MATCH($B84,'ETAPA OBRA'!$B:$B,0))="x",'ETAPA OBRA'!H$1&amp;", ","")&amp;
IF(INDEX('ETAPA OBRA'!I:I,MATCH($B84,'ETAPA OBRA'!$B:$B,0))="x",'ETAPA OBRA'!I$1&amp;", ","")&amp;
IF(INDEX('ETAPA OBRA'!J:J,MATCH($B84,'ETAPA OBRA'!$B:$B,0))="x",'ETAPA OBRA'!J$1&amp;", ","")&amp;
IF(INDEX('ETAPA OBRA'!K:K,MATCH($B84,'ETAPA OBRA'!$B:$B,0))="x",'ETAPA OBRA'!K$1&amp;", ","")&amp;
IF(INDEX('ETAPA OBRA'!L:L,MATCH($B84,'ETAPA OBRA'!$B:$B,0))="x",'ETAPA OBRA'!L$1&amp;", ","")&amp;
IF(INDEX('ETAPA OBRA'!M:M,MATCH($B84,'ETAPA OBRA'!$B:$B,0))="x",'ETAPA OBRA'!M$1&amp;", ","")&amp;
IF(INDEX('ETAPA OBRA'!N:N,MATCH($B84,'ETAPA OBRA'!$B:$B,0))="x",'ETAPA OBRA'!N$1&amp;", ","")&amp;
IF(INDEX('ETAPA OBRA'!O:O,MATCH($B84,'ETAPA OBRA'!$B:$B,0))="x",'ETAPA OBRA'!O$1&amp;", ","")&amp;
IF(INDEX('ETAPA OBRA'!P:P,MATCH($B84,'ETAPA OBRA'!$B:$B,0))="x",'ETAPA OBRA'!P$1&amp;", ","")&amp;
IF(INDEX('ETAPA OBRA'!Q:Q,MATCH($B84,'ETAPA OBRA'!$B:$B,0))="x",'ETAPA OBRA'!Q$1&amp;", ","")&amp;
IF(INDEX('ETAPA OBRA'!R:R,MATCH($B84,'ETAPA OBRA'!$B:$B,0))="x",'ETAPA OBRA'!R$1&amp;", ","")&amp;
IF(INDEX('ETAPA OBRA'!S:S,MATCH($B84,'ETAPA OBRA'!$B:$B,0))="x",'ETAPA OBRA'!S$1&amp;", ","")&amp;
IF(INDEX('ETAPA OBRA'!T:T,MATCH($B84,'ETAPA OBRA'!$B:$B,0))="x",'ETAPA OBRA'!T$1&amp;", ","")&amp;
IF(INDEX('ETAPA OBRA'!U:U,MATCH($B84,'ETAPA OBRA'!$B:$B,0))="x",'ETAPA OBRA'!U$1&amp;", ","")
)-2),"")</f>
        <v>Finalizado</v>
      </c>
      <c r="N84" s="23" t="str">
        <f t="shared" si="9"/>
        <v>Finalizado</v>
      </c>
      <c r="O84" s="28">
        <v>75900</v>
      </c>
      <c r="P84" s="37">
        <f t="shared" si="10"/>
        <v>31108.98</v>
      </c>
      <c r="Q84" s="28">
        <f t="shared" si="11"/>
        <v>44791.020000000004</v>
      </c>
      <c r="R84" s="29">
        <f t="shared" si="12"/>
        <v>0.59013201581027674</v>
      </c>
      <c r="S84" s="23" t="str">
        <f t="shared" si="13"/>
        <v>✅ OK - Fechar Parceiro</v>
      </c>
      <c r="T84" s="23" t="str">
        <f>Cronograma[[#This Row],[STATUS]]</f>
        <v>✅ CONCLUÍDO</v>
      </c>
    </row>
    <row r="85" spans="1:20" ht="15" customHeight="1" x14ac:dyDescent="0.3">
      <c r="A85" s="23" t="s">
        <v>270</v>
      </c>
      <c r="B85" s="23" t="str">
        <f>IF(A85&lt;&gt;"","contel-"&amp;TEXT(COUNTA($A$2:A85),"00"),"")</f>
        <v>contel-84</v>
      </c>
      <c r="C85" s="23" t="s">
        <v>21</v>
      </c>
      <c r="D85" s="23" t="s">
        <v>271</v>
      </c>
      <c r="E85" s="23" t="s">
        <v>117</v>
      </c>
      <c r="F85" s="52" t="s">
        <v>272</v>
      </c>
      <c r="G85" s="23">
        <v>1891</v>
      </c>
      <c r="H85" s="30">
        <v>26739</v>
      </c>
      <c r="I85" s="23" t="s">
        <v>90</v>
      </c>
      <c r="J85" s="25">
        <f>SUM(EQUIPE!C85,EQUIPE!E85,EQUIPE!G85,EQUIPE!I85,EQUIPE!K85,EQUIPE!M85,EQUIPE!O85)</f>
        <v>4000</v>
      </c>
      <c r="K85" s="25">
        <v>0</v>
      </c>
      <c r="L85" s="25">
        <v>0</v>
      </c>
      <c r="M85" s="27" t="str">
        <f>IFERROR(LEFT(
IF(INDEX('ETAPA OBRA'!C:C,MATCH($B85,'ETAPA OBRA'!$B:$B,0))="x",'ETAPA OBRA'!C$1&amp;", ","")&amp;
IF(INDEX('ETAPA OBRA'!D:D,MATCH($B85,'ETAPA OBRA'!$B:$B,0))="x",'ETAPA OBRA'!D$1&amp;", ","")&amp;
IF(INDEX('ETAPA OBRA'!F:F,MATCH($B85,'ETAPA OBRA'!$B:$B,0))="x",'ETAPA OBRA'!F$1&amp;", ","")&amp;
IF(INDEX('ETAPA OBRA'!G:G,MATCH($B85,'ETAPA OBRA'!$B:$B,0))="x",'ETAPA OBRA'!G$1&amp;", ","")&amp;
IF(INDEX('ETAPA OBRA'!H:H,MATCH($B85,'ETAPA OBRA'!$B:$B,0))="x",'ETAPA OBRA'!H$1&amp;", ","")&amp;
IF(INDEX('ETAPA OBRA'!I:I,MATCH($B85,'ETAPA OBRA'!$B:$B,0))="x",'ETAPA OBRA'!I$1&amp;", ","")&amp;
IF(INDEX('ETAPA OBRA'!J:J,MATCH($B85,'ETAPA OBRA'!$B:$B,0))="x",'ETAPA OBRA'!J$1&amp;", ","")&amp;
IF(INDEX('ETAPA OBRA'!K:K,MATCH($B85,'ETAPA OBRA'!$B:$B,0))="x",'ETAPA OBRA'!K$1&amp;", ","")&amp;
IF(INDEX('ETAPA OBRA'!L:L,MATCH($B85,'ETAPA OBRA'!$B:$B,0))="x",'ETAPA OBRA'!L$1&amp;", ","")&amp;
IF(INDEX('ETAPA OBRA'!M:M,MATCH($B85,'ETAPA OBRA'!$B:$B,0))="x",'ETAPA OBRA'!M$1&amp;", ","")&amp;
IF(INDEX('ETAPA OBRA'!N:N,MATCH($B85,'ETAPA OBRA'!$B:$B,0))="x",'ETAPA OBRA'!N$1&amp;", ","")&amp;
IF(INDEX('ETAPA OBRA'!O:O,MATCH($B85,'ETAPA OBRA'!$B:$B,0))="x",'ETAPA OBRA'!O$1&amp;", ","")&amp;
IF(INDEX('ETAPA OBRA'!P:P,MATCH($B85,'ETAPA OBRA'!$B:$B,0))="x",'ETAPA OBRA'!P$1&amp;", ","")&amp;
IF(INDEX('ETAPA OBRA'!Q:Q,MATCH($B85,'ETAPA OBRA'!$B:$B,0))="x",'ETAPA OBRA'!Q$1&amp;", ","")&amp;
IF(INDEX('ETAPA OBRA'!R:R,MATCH($B85,'ETAPA OBRA'!$B:$B,0))="x",'ETAPA OBRA'!R$1&amp;", ","")&amp;
IF(INDEX('ETAPA OBRA'!S:S,MATCH($B85,'ETAPA OBRA'!$B:$B,0))="x",'ETAPA OBRA'!S$1&amp;", ","")&amp;
IF(INDEX('ETAPA OBRA'!T:T,MATCH($B85,'ETAPA OBRA'!$B:$B,0))="x",'ETAPA OBRA'!T$1&amp;", ","")&amp;
IF(INDEX('ETAPA OBRA'!U:U,MATCH($B85,'ETAPA OBRA'!$B:$B,0))="x",'ETAPA OBRA'!U$1&amp;", ",""),LEN(
IF(INDEX('ETAPA OBRA'!C:C,MATCH($B85,'ETAPA OBRA'!$B:$B,0))="x",'ETAPA OBRA'!C$1&amp;", ","")&amp;
IF(INDEX('ETAPA OBRA'!D:D,MATCH($B85,'ETAPA OBRA'!$B:$B,0))="x",'ETAPA OBRA'!D$1&amp;", ","")&amp;
IF(INDEX('ETAPA OBRA'!F:F,MATCH($B85,'ETAPA OBRA'!$B:$B,0))="x",'ETAPA OBRA'!F$1&amp;", ","")&amp;
IF(INDEX('ETAPA OBRA'!G:G,MATCH($B85,'ETAPA OBRA'!$B:$B,0))="x",'ETAPA OBRA'!G$1&amp;", ","")&amp;
IF(INDEX('ETAPA OBRA'!H:H,MATCH($B85,'ETAPA OBRA'!$B:$B,0))="x",'ETAPA OBRA'!H$1&amp;", ","")&amp;
IF(INDEX('ETAPA OBRA'!I:I,MATCH($B85,'ETAPA OBRA'!$B:$B,0))="x",'ETAPA OBRA'!I$1&amp;", ","")&amp;
IF(INDEX('ETAPA OBRA'!J:J,MATCH($B85,'ETAPA OBRA'!$B:$B,0))="x",'ETAPA OBRA'!J$1&amp;", ","")&amp;
IF(INDEX('ETAPA OBRA'!K:K,MATCH($B85,'ETAPA OBRA'!$B:$B,0))="x",'ETAPA OBRA'!K$1&amp;", ","")&amp;
IF(INDEX('ETAPA OBRA'!L:L,MATCH($B85,'ETAPA OBRA'!$B:$B,0))="x",'ETAPA OBRA'!L$1&amp;", ","")&amp;
IF(INDEX('ETAPA OBRA'!M:M,MATCH($B85,'ETAPA OBRA'!$B:$B,0))="x",'ETAPA OBRA'!M$1&amp;", ","")&amp;
IF(INDEX('ETAPA OBRA'!N:N,MATCH($B85,'ETAPA OBRA'!$B:$B,0))="x",'ETAPA OBRA'!N$1&amp;", ","")&amp;
IF(INDEX('ETAPA OBRA'!O:O,MATCH($B85,'ETAPA OBRA'!$B:$B,0))="x",'ETAPA OBRA'!O$1&amp;", ","")&amp;
IF(INDEX('ETAPA OBRA'!P:P,MATCH($B85,'ETAPA OBRA'!$B:$B,0))="x",'ETAPA OBRA'!P$1&amp;", ","")&amp;
IF(INDEX('ETAPA OBRA'!Q:Q,MATCH($B85,'ETAPA OBRA'!$B:$B,0))="x",'ETAPA OBRA'!Q$1&amp;", ","")&amp;
IF(INDEX('ETAPA OBRA'!R:R,MATCH($B85,'ETAPA OBRA'!$B:$B,0))="x",'ETAPA OBRA'!R$1&amp;", ","")&amp;
IF(INDEX('ETAPA OBRA'!S:S,MATCH($B85,'ETAPA OBRA'!$B:$B,0))="x",'ETAPA OBRA'!S$1&amp;", ","")&amp;
IF(INDEX('ETAPA OBRA'!T:T,MATCH($B85,'ETAPA OBRA'!$B:$B,0))="x",'ETAPA OBRA'!T$1&amp;", ","")&amp;
IF(INDEX('ETAPA OBRA'!U:U,MATCH($B85,'ETAPA OBRA'!$B:$B,0))="x",'ETAPA OBRA'!U$1&amp;", ","")
)-2),"")</f>
        <v>Finalizado</v>
      </c>
      <c r="N85" s="23" t="str">
        <f t="shared" si="9"/>
        <v>Finalizado</v>
      </c>
      <c r="O85" s="28">
        <v>9116.2000000000007</v>
      </c>
      <c r="P85" s="37">
        <f t="shared" si="10"/>
        <v>4000</v>
      </c>
      <c r="Q85" s="28">
        <f t="shared" si="11"/>
        <v>5116.2000000000007</v>
      </c>
      <c r="R85" s="29">
        <f t="shared" si="12"/>
        <v>0.56122068405695358</v>
      </c>
      <c r="S85" s="23" t="str">
        <f t="shared" si="13"/>
        <v>✅ OK - Fechar Parceiro</v>
      </c>
      <c r="T85" s="23" t="str">
        <f>Cronograma[[#This Row],[STATUS]]</f>
        <v>✅ CONCLUÍDO</v>
      </c>
    </row>
    <row r="86" spans="1:20" ht="15" customHeight="1" x14ac:dyDescent="0.3">
      <c r="A86" s="23" t="s">
        <v>273</v>
      </c>
      <c r="B86" s="23" t="str">
        <f>IF(A86&lt;&gt;"","contel-"&amp;TEXT(COUNTA($A$2:A86),"00"),"")</f>
        <v>contel-85</v>
      </c>
      <c r="C86" s="23" t="s">
        <v>21</v>
      </c>
      <c r="D86" s="23" t="s">
        <v>274</v>
      </c>
      <c r="E86" s="23" t="s">
        <v>75</v>
      </c>
      <c r="F86" s="52" t="s">
        <v>275</v>
      </c>
      <c r="G86" s="23">
        <v>1889</v>
      </c>
      <c r="H86" s="30">
        <v>26733</v>
      </c>
      <c r="I86" s="23" t="s">
        <v>25</v>
      </c>
      <c r="J86" s="25">
        <f>SUM(EQUIPE!C86,EQUIPE!E86,EQUIPE!G86,EQUIPE!I86,EQUIPE!K86,EQUIPE!M86,EQUIPE!O86)</f>
        <v>2000</v>
      </c>
      <c r="K86" s="25">
        <v>0</v>
      </c>
      <c r="L86" s="25">
        <v>0</v>
      </c>
      <c r="M86" s="27" t="str">
        <f ca="1">IFERROR(LEFT(
IF(INDEX('ETAPA OBRA'!C:C,MATCH($B86,'ETAPA OBRA'!$B:$B,0))="x",'ETAPA OBRA'!C$1&amp;", ","")&amp;
IF(INDEX('ETAPA OBRA'!D:D,MATCH($B86,'ETAPA OBRA'!$B:$B,0))="x",'ETAPA OBRA'!D$1&amp;", ","")&amp;
IF(INDEX('ETAPA OBRA'!F:F,MATCH($B86,'ETAPA OBRA'!$B:$B,0))="x",'ETAPA OBRA'!F$1&amp;", ","")&amp;
IF(INDEX('ETAPA OBRA'!G:G,MATCH($B86,'ETAPA OBRA'!$B:$B,0))="x",'ETAPA OBRA'!G$1&amp;", ","")&amp;
IF(INDEX('ETAPA OBRA'!H:H,MATCH($B86,'ETAPA OBRA'!$B:$B,0))="x",'ETAPA OBRA'!H$1&amp;", ","")&amp;
IF(INDEX('ETAPA OBRA'!I:I,MATCH($B86,'ETAPA OBRA'!$B:$B,0))="x",'ETAPA OBRA'!I$1&amp;", ","")&amp;
IF(INDEX('ETAPA OBRA'!J:J,MATCH($B86,'ETAPA OBRA'!$B:$B,0))="x",'ETAPA OBRA'!J$1&amp;", ","")&amp;
IF(INDEX('ETAPA OBRA'!K:K,MATCH($B86,'ETAPA OBRA'!$B:$B,0))="x",'ETAPA OBRA'!K$1&amp;", ","")&amp;
IF(INDEX('ETAPA OBRA'!L:L,MATCH($B86,'ETAPA OBRA'!$B:$B,0))="x",'ETAPA OBRA'!L$1&amp;", ","")&amp;
IF(INDEX('ETAPA OBRA'!M:M,MATCH($B86,'ETAPA OBRA'!$B:$B,0))="x",'ETAPA OBRA'!M$1&amp;", ","")&amp;
IF(INDEX('ETAPA OBRA'!N:N,MATCH($B86,'ETAPA OBRA'!$B:$B,0))="x",'ETAPA OBRA'!N$1&amp;", ","")&amp;
IF(INDEX('ETAPA OBRA'!O:O,MATCH($B86,'ETAPA OBRA'!$B:$B,0))="x",'ETAPA OBRA'!O$1&amp;", ","")&amp;
IF(INDEX('ETAPA OBRA'!P:P,MATCH($B86,'ETAPA OBRA'!$B:$B,0))="x",'ETAPA OBRA'!P$1&amp;", ","")&amp;
IF(INDEX('ETAPA OBRA'!Q:Q,MATCH($B86,'ETAPA OBRA'!$B:$B,0))="x",'ETAPA OBRA'!Q$1&amp;", ","")&amp;
IF(INDEX('ETAPA OBRA'!R:R,MATCH($B86,'ETAPA OBRA'!$B:$B,0))="x",'ETAPA OBRA'!R$1&amp;", ","")&amp;
IF(INDEX('ETAPA OBRA'!S:S,MATCH($B86,'ETAPA OBRA'!$B:$B,0))="x",'ETAPA OBRA'!S$1&amp;", ","")&amp;
IF(INDEX('ETAPA OBRA'!T:T,MATCH($B86,'ETAPA OBRA'!$B:$B,0))="x",'ETAPA OBRA'!T$1&amp;", ","")&amp;
IF(INDEX('ETAPA OBRA'!U:U,MATCH($B86,'ETAPA OBRA'!$B:$B,0))="x",'ETAPA OBRA'!U$1&amp;", ",""),LEN(
IF(INDEX('ETAPA OBRA'!C:C,MATCH($B86,'ETAPA OBRA'!$B:$B,0))="x",'ETAPA OBRA'!C$1&amp;", ","")&amp;
IF(INDEX('ETAPA OBRA'!D:D,MATCH($B86,'ETAPA OBRA'!$B:$B,0))="x",'ETAPA OBRA'!D$1&amp;", ","")&amp;
IF(INDEX('ETAPA OBRA'!F:F,MATCH($B86,'ETAPA OBRA'!$B:$B,0))="x",'ETAPA OBRA'!F$1&amp;", ","")&amp;
IF(INDEX('ETAPA OBRA'!G:G,MATCH($B86,'ETAPA OBRA'!$B:$B,0))="x",'ETAPA OBRA'!G$1&amp;", ","")&amp;
IF(INDEX('ETAPA OBRA'!H:H,MATCH($B86,'ETAPA OBRA'!$B:$B,0))="x",'ETAPA OBRA'!H$1&amp;", ","")&amp;
IF(INDEX('ETAPA OBRA'!I:I,MATCH($B86,'ETAPA OBRA'!$B:$B,0))="x",'ETAPA OBRA'!I$1&amp;", ","")&amp;
IF(INDEX('ETAPA OBRA'!J:J,MATCH($B86,'ETAPA OBRA'!$B:$B,0))="x",'ETAPA OBRA'!J$1&amp;", ","")&amp;
IF(INDEX('ETAPA OBRA'!K:K,MATCH($B86,'ETAPA OBRA'!$B:$B,0))="x",'ETAPA OBRA'!K$1&amp;", ","")&amp;
IF(INDEX('ETAPA OBRA'!L:L,MATCH($B86,'ETAPA OBRA'!$B:$B,0))="x",'ETAPA OBRA'!L$1&amp;", ","")&amp;
IF(INDEX('ETAPA OBRA'!M:M,MATCH($B86,'ETAPA OBRA'!$B:$B,0))="x",'ETAPA OBRA'!M$1&amp;", ","")&amp;
IF(INDEX('ETAPA OBRA'!N:N,MATCH($B86,'ETAPA OBRA'!$B:$B,0))="x",'ETAPA OBRA'!N$1&amp;", ","")&amp;
IF(INDEX('ETAPA OBRA'!O:O,MATCH($B86,'ETAPA OBRA'!$B:$B,0))="x",'ETAPA OBRA'!O$1&amp;", ","")&amp;
IF(INDEX('ETAPA OBRA'!P:P,MATCH($B86,'ETAPA OBRA'!$B:$B,0))="x",'ETAPA OBRA'!P$1&amp;", ","")&amp;
IF(INDEX('ETAPA OBRA'!Q:Q,MATCH($B86,'ETAPA OBRA'!$B:$B,0))="x",'ETAPA OBRA'!Q$1&amp;", ","")&amp;
IF(INDEX('ETAPA OBRA'!R:R,MATCH($B86,'ETAPA OBRA'!$B:$B,0))="x",'ETAPA OBRA'!R$1&amp;", ","")&amp;
IF(INDEX('ETAPA OBRA'!S:S,MATCH($B86,'ETAPA OBRA'!$B:$B,0))="x",'ETAPA OBRA'!S$1&amp;", ","")&amp;
IF(INDEX('ETAPA OBRA'!T:T,MATCH($B86,'ETAPA OBRA'!$B:$B,0))="x",'ETAPA OBRA'!T$1&amp;", ","")&amp;
IF(INDEX('ETAPA OBRA'!U:U,MATCH($B86,'ETAPA OBRA'!$B:$B,0))="x",'ETAPA OBRA'!U$1&amp;", ","")
)-2),"")</f>
        <v>Projeto</v>
      </c>
      <c r="N86" s="23" t="str">
        <f t="shared" ca="1" si="9"/>
        <v>Em andamento</v>
      </c>
      <c r="O86" s="28">
        <v>4500</v>
      </c>
      <c r="P86" s="37">
        <f t="shared" si="10"/>
        <v>2000</v>
      </c>
      <c r="Q86" s="28">
        <f t="shared" si="11"/>
        <v>2500</v>
      </c>
      <c r="R86" s="29">
        <f t="shared" si="12"/>
        <v>0.55555555555555558</v>
      </c>
      <c r="S86" s="23" t="str">
        <f t="shared" si="13"/>
        <v>✅ OK - Fechar Parceiro</v>
      </c>
      <c r="T86" s="23" t="str">
        <f ca="1">Cronograma[[#This Row],[STATUS]]</f>
        <v>⏰ ATRASADO</v>
      </c>
    </row>
    <row r="87" spans="1:20" ht="15" customHeight="1" x14ac:dyDescent="0.3">
      <c r="A87" s="23" t="s">
        <v>276</v>
      </c>
      <c r="B87" s="23" t="str">
        <f>IF(A87&lt;&gt;"","contel-"&amp;TEXT(COUNTA($A$2:A87),"00"),"")</f>
        <v>contel-86</v>
      </c>
      <c r="C87" s="23" t="s">
        <v>21</v>
      </c>
      <c r="D87" s="23" t="s">
        <v>277</v>
      </c>
      <c r="E87" s="23" t="s">
        <v>188</v>
      </c>
      <c r="F87" s="52" t="s">
        <v>278</v>
      </c>
      <c r="G87" s="23">
        <v>1890</v>
      </c>
      <c r="H87" s="30">
        <v>26741</v>
      </c>
      <c r="I87" s="23" t="s">
        <v>34</v>
      </c>
      <c r="J87" s="25">
        <f>SUM(EQUIPE!C87,EQUIPE!E87,EQUIPE!G87,EQUIPE!I87,EQUIPE!K87,EQUIPE!M87,EQUIPE!O87)</f>
        <v>7000</v>
      </c>
      <c r="K87" s="25">
        <v>0</v>
      </c>
      <c r="L87" s="25">
        <v>0</v>
      </c>
      <c r="M87" s="27" t="str">
        <f>IFERROR(LEFT(
IF(INDEX('ETAPA OBRA'!C:C,MATCH($B87,'ETAPA OBRA'!$B:$B,0))="x",'ETAPA OBRA'!C$1&amp;", ","")&amp;
IF(INDEX('ETAPA OBRA'!D:D,MATCH($B87,'ETAPA OBRA'!$B:$B,0))="x",'ETAPA OBRA'!D$1&amp;", ","")&amp;
IF(INDEX('ETAPA OBRA'!F:F,MATCH($B87,'ETAPA OBRA'!$B:$B,0))="x",'ETAPA OBRA'!F$1&amp;", ","")&amp;
IF(INDEX('ETAPA OBRA'!G:G,MATCH($B87,'ETAPA OBRA'!$B:$B,0))="x",'ETAPA OBRA'!G$1&amp;", ","")&amp;
IF(INDEX('ETAPA OBRA'!H:H,MATCH($B87,'ETAPA OBRA'!$B:$B,0))="x",'ETAPA OBRA'!H$1&amp;", ","")&amp;
IF(INDEX('ETAPA OBRA'!I:I,MATCH($B87,'ETAPA OBRA'!$B:$B,0))="x",'ETAPA OBRA'!I$1&amp;", ","")&amp;
IF(INDEX('ETAPA OBRA'!J:J,MATCH($B87,'ETAPA OBRA'!$B:$B,0))="x",'ETAPA OBRA'!J$1&amp;", ","")&amp;
IF(INDEX('ETAPA OBRA'!K:K,MATCH($B87,'ETAPA OBRA'!$B:$B,0))="x",'ETAPA OBRA'!K$1&amp;", ","")&amp;
IF(INDEX('ETAPA OBRA'!L:L,MATCH($B87,'ETAPA OBRA'!$B:$B,0))="x",'ETAPA OBRA'!L$1&amp;", ","")&amp;
IF(INDEX('ETAPA OBRA'!M:M,MATCH($B87,'ETAPA OBRA'!$B:$B,0))="x",'ETAPA OBRA'!M$1&amp;", ","")&amp;
IF(INDEX('ETAPA OBRA'!N:N,MATCH($B87,'ETAPA OBRA'!$B:$B,0))="x",'ETAPA OBRA'!N$1&amp;", ","")&amp;
IF(INDEX('ETAPA OBRA'!O:O,MATCH($B87,'ETAPA OBRA'!$B:$B,0))="x",'ETAPA OBRA'!O$1&amp;", ","")&amp;
IF(INDEX('ETAPA OBRA'!P:P,MATCH($B87,'ETAPA OBRA'!$B:$B,0))="x",'ETAPA OBRA'!P$1&amp;", ","")&amp;
IF(INDEX('ETAPA OBRA'!Q:Q,MATCH($B87,'ETAPA OBRA'!$B:$B,0))="x",'ETAPA OBRA'!Q$1&amp;", ","")&amp;
IF(INDEX('ETAPA OBRA'!R:R,MATCH($B87,'ETAPA OBRA'!$B:$B,0))="x",'ETAPA OBRA'!R$1&amp;", ","")&amp;
IF(INDEX('ETAPA OBRA'!S:S,MATCH($B87,'ETAPA OBRA'!$B:$B,0))="x",'ETAPA OBRA'!S$1&amp;", ","")&amp;
IF(INDEX('ETAPA OBRA'!T:T,MATCH($B87,'ETAPA OBRA'!$B:$B,0))="x",'ETAPA OBRA'!T$1&amp;", ","")&amp;
IF(INDEX('ETAPA OBRA'!U:U,MATCH($B87,'ETAPA OBRA'!$B:$B,0))="x",'ETAPA OBRA'!U$1&amp;", ",""),LEN(
IF(INDEX('ETAPA OBRA'!C:C,MATCH($B87,'ETAPA OBRA'!$B:$B,0))="x",'ETAPA OBRA'!C$1&amp;", ","")&amp;
IF(INDEX('ETAPA OBRA'!D:D,MATCH($B87,'ETAPA OBRA'!$B:$B,0))="x",'ETAPA OBRA'!D$1&amp;", ","")&amp;
IF(INDEX('ETAPA OBRA'!F:F,MATCH($B87,'ETAPA OBRA'!$B:$B,0))="x",'ETAPA OBRA'!F$1&amp;", ","")&amp;
IF(INDEX('ETAPA OBRA'!G:G,MATCH($B87,'ETAPA OBRA'!$B:$B,0))="x",'ETAPA OBRA'!G$1&amp;", ","")&amp;
IF(INDEX('ETAPA OBRA'!H:H,MATCH($B87,'ETAPA OBRA'!$B:$B,0))="x",'ETAPA OBRA'!H$1&amp;", ","")&amp;
IF(INDEX('ETAPA OBRA'!I:I,MATCH($B87,'ETAPA OBRA'!$B:$B,0))="x",'ETAPA OBRA'!I$1&amp;", ","")&amp;
IF(INDEX('ETAPA OBRA'!J:J,MATCH($B87,'ETAPA OBRA'!$B:$B,0))="x",'ETAPA OBRA'!J$1&amp;", ","")&amp;
IF(INDEX('ETAPA OBRA'!K:K,MATCH($B87,'ETAPA OBRA'!$B:$B,0))="x",'ETAPA OBRA'!K$1&amp;", ","")&amp;
IF(INDEX('ETAPA OBRA'!L:L,MATCH($B87,'ETAPA OBRA'!$B:$B,0))="x",'ETAPA OBRA'!L$1&amp;", ","")&amp;
IF(INDEX('ETAPA OBRA'!M:M,MATCH($B87,'ETAPA OBRA'!$B:$B,0))="x",'ETAPA OBRA'!M$1&amp;", ","")&amp;
IF(INDEX('ETAPA OBRA'!N:N,MATCH($B87,'ETAPA OBRA'!$B:$B,0))="x",'ETAPA OBRA'!N$1&amp;", ","")&amp;
IF(INDEX('ETAPA OBRA'!O:O,MATCH($B87,'ETAPA OBRA'!$B:$B,0))="x",'ETAPA OBRA'!O$1&amp;", ","")&amp;
IF(INDEX('ETAPA OBRA'!P:P,MATCH($B87,'ETAPA OBRA'!$B:$B,0))="x",'ETAPA OBRA'!P$1&amp;", ","")&amp;
IF(INDEX('ETAPA OBRA'!Q:Q,MATCH($B87,'ETAPA OBRA'!$B:$B,0))="x",'ETAPA OBRA'!Q$1&amp;", ","")&amp;
IF(INDEX('ETAPA OBRA'!R:R,MATCH($B87,'ETAPA OBRA'!$B:$B,0))="x",'ETAPA OBRA'!R$1&amp;", ","")&amp;
IF(INDEX('ETAPA OBRA'!S:S,MATCH($B87,'ETAPA OBRA'!$B:$B,0))="x",'ETAPA OBRA'!S$1&amp;", ","")&amp;
IF(INDEX('ETAPA OBRA'!T:T,MATCH($B87,'ETAPA OBRA'!$B:$B,0))="x",'ETAPA OBRA'!T$1&amp;", ","")&amp;
IF(INDEX('ETAPA OBRA'!U:U,MATCH($B87,'ETAPA OBRA'!$B:$B,0))="x",'ETAPA OBRA'!U$1&amp;", ","")
)-2),"")</f>
        <v>Finalizado</v>
      </c>
      <c r="N87" s="23" t="str">
        <f t="shared" si="9"/>
        <v>Finalizado</v>
      </c>
      <c r="O87" s="28">
        <v>26655.1</v>
      </c>
      <c r="P87" s="37">
        <f t="shared" si="10"/>
        <v>7000</v>
      </c>
      <c r="Q87" s="28">
        <f t="shared" si="11"/>
        <v>19655.099999999999</v>
      </c>
      <c r="R87" s="29">
        <f t="shared" si="12"/>
        <v>0.73738609121706544</v>
      </c>
      <c r="S87" s="23" t="str">
        <f t="shared" si="13"/>
        <v>✅ OK - Fechar Parceiro</v>
      </c>
      <c r="T87" s="23" t="str">
        <f>Cronograma[[#This Row],[STATUS]]</f>
        <v>✅ CONCLUÍDO</v>
      </c>
    </row>
    <row r="88" spans="1:20" ht="15" customHeight="1" x14ac:dyDescent="0.3">
      <c r="A88" s="23" t="s">
        <v>279</v>
      </c>
      <c r="B88" s="23" t="str">
        <f>IF(A88&lt;&gt;"","contel-"&amp;TEXT(COUNTA($A$2:A88),"00"),"")</f>
        <v>contel-87</v>
      </c>
      <c r="C88" s="23" t="s">
        <v>280</v>
      </c>
      <c r="D88" s="23" t="s">
        <v>281</v>
      </c>
      <c r="E88" s="23" t="s">
        <v>75</v>
      </c>
      <c r="F88" s="52" t="s">
        <v>282</v>
      </c>
      <c r="G88" s="23">
        <v>1883</v>
      </c>
      <c r="H88" s="30">
        <v>26727</v>
      </c>
      <c r="I88" s="23" t="s">
        <v>283</v>
      </c>
      <c r="J88" s="25">
        <f>SUM(EQUIPE!C88,EQUIPE!E88,EQUIPE!G88,EQUIPE!I88,EQUIPE!K88,EQUIPE!M88,EQUIPE!O88)</f>
        <v>0</v>
      </c>
      <c r="K88" s="25">
        <v>102.82</v>
      </c>
      <c r="L88" s="25">
        <v>0</v>
      </c>
      <c r="M88" s="27" t="str">
        <f ca="1">IFERROR(LEFT(
IF(INDEX('ETAPA OBRA'!C:C,MATCH($B88,'ETAPA OBRA'!$B:$B,0))="x",'ETAPA OBRA'!C$1&amp;", ","")&amp;
IF(INDEX('ETAPA OBRA'!D:D,MATCH($B88,'ETAPA OBRA'!$B:$B,0))="x",'ETAPA OBRA'!D$1&amp;", ","")&amp;
IF(INDEX('ETAPA OBRA'!F:F,MATCH($B88,'ETAPA OBRA'!$B:$B,0))="x",'ETAPA OBRA'!F$1&amp;", ","")&amp;
IF(INDEX('ETAPA OBRA'!G:G,MATCH($B88,'ETAPA OBRA'!$B:$B,0))="x",'ETAPA OBRA'!G$1&amp;", ","")&amp;
IF(INDEX('ETAPA OBRA'!H:H,MATCH($B88,'ETAPA OBRA'!$B:$B,0))="x",'ETAPA OBRA'!H$1&amp;", ","")&amp;
IF(INDEX('ETAPA OBRA'!I:I,MATCH($B88,'ETAPA OBRA'!$B:$B,0))="x",'ETAPA OBRA'!I$1&amp;", ","")&amp;
IF(INDEX('ETAPA OBRA'!J:J,MATCH($B88,'ETAPA OBRA'!$B:$B,0))="x",'ETAPA OBRA'!J$1&amp;", ","")&amp;
IF(INDEX('ETAPA OBRA'!K:K,MATCH($B88,'ETAPA OBRA'!$B:$B,0))="x",'ETAPA OBRA'!K$1&amp;", ","")&amp;
IF(INDEX('ETAPA OBRA'!L:L,MATCH($B88,'ETAPA OBRA'!$B:$B,0))="x",'ETAPA OBRA'!L$1&amp;", ","")&amp;
IF(INDEX('ETAPA OBRA'!M:M,MATCH($B88,'ETAPA OBRA'!$B:$B,0))="x",'ETAPA OBRA'!M$1&amp;", ","")&amp;
IF(INDEX('ETAPA OBRA'!N:N,MATCH($B88,'ETAPA OBRA'!$B:$B,0))="x",'ETAPA OBRA'!N$1&amp;", ","")&amp;
IF(INDEX('ETAPA OBRA'!O:O,MATCH($B88,'ETAPA OBRA'!$B:$B,0))="x",'ETAPA OBRA'!O$1&amp;", ","")&amp;
IF(INDEX('ETAPA OBRA'!P:P,MATCH($B88,'ETAPA OBRA'!$B:$B,0))="x",'ETAPA OBRA'!P$1&amp;", ","")&amp;
IF(INDEX('ETAPA OBRA'!Q:Q,MATCH($B88,'ETAPA OBRA'!$B:$B,0))="x",'ETAPA OBRA'!Q$1&amp;", ","")&amp;
IF(INDEX('ETAPA OBRA'!R:R,MATCH($B88,'ETAPA OBRA'!$B:$B,0))="x",'ETAPA OBRA'!R$1&amp;", ","")&amp;
IF(INDEX('ETAPA OBRA'!S:S,MATCH($B88,'ETAPA OBRA'!$B:$B,0))="x",'ETAPA OBRA'!S$1&amp;", ","")&amp;
IF(INDEX('ETAPA OBRA'!T:T,MATCH($B88,'ETAPA OBRA'!$B:$B,0))="x",'ETAPA OBRA'!T$1&amp;", ","")&amp;
IF(INDEX('ETAPA OBRA'!U:U,MATCH($B88,'ETAPA OBRA'!$B:$B,0))="x",'ETAPA OBRA'!U$1&amp;", ",""),LEN(
IF(INDEX('ETAPA OBRA'!C:C,MATCH($B88,'ETAPA OBRA'!$B:$B,0))="x",'ETAPA OBRA'!C$1&amp;", ","")&amp;
IF(INDEX('ETAPA OBRA'!D:D,MATCH($B88,'ETAPA OBRA'!$B:$B,0))="x",'ETAPA OBRA'!D$1&amp;", ","")&amp;
IF(INDEX('ETAPA OBRA'!F:F,MATCH($B88,'ETAPA OBRA'!$B:$B,0))="x",'ETAPA OBRA'!F$1&amp;", ","")&amp;
IF(INDEX('ETAPA OBRA'!G:G,MATCH($B88,'ETAPA OBRA'!$B:$B,0))="x",'ETAPA OBRA'!G$1&amp;", ","")&amp;
IF(INDEX('ETAPA OBRA'!H:H,MATCH($B88,'ETAPA OBRA'!$B:$B,0))="x",'ETAPA OBRA'!H$1&amp;", ","")&amp;
IF(INDEX('ETAPA OBRA'!I:I,MATCH($B88,'ETAPA OBRA'!$B:$B,0))="x",'ETAPA OBRA'!I$1&amp;", ","")&amp;
IF(INDEX('ETAPA OBRA'!J:J,MATCH($B88,'ETAPA OBRA'!$B:$B,0))="x",'ETAPA OBRA'!J$1&amp;", ","")&amp;
IF(INDEX('ETAPA OBRA'!K:K,MATCH($B88,'ETAPA OBRA'!$B:$B,0))="x",'ETAPA OBRA'!K$1&amp;", ","")&amp;
IF(INDEX('ETAPA OBRA'!L:L,MATCH($B88,'ETAPA OBRA'!$B:$B,0))="x",'ETAPA OBRA'!L$1&amp;", ","")&amp;
IF(INDEX('ETAPA OBRA'!M:M,MATCH($B88,'ETAPA OBRA'!$B:$B,0))="x",'ETAPA OBRA'!M$1&amp;", ","")&amp;
IF(INDEX('ETAPA OBRA'!N:N,MATCH($B88,'ETAPA OBRA'!$B:$B,0))="x",'ETAPA OBRA'!N$1&amp;", ","")&amp;
IF(INDEX('ETAPA OBRA'!O:O,MATCH($B88,'ETAPA OBRA'!$B:$B,0))="x",'ETAPA OBRA'!O$1&amp;", ","")&amp;
IF(INDEX('ETAPA OBRA'!P:P,MATCH($B88,'ETAPA OBRA'!$B:$B,0))="x",'ETAPA OBRA'!P$1&amp;", ","")&amp;
IF(INDEX('ETAPA OBRA'!Q:Q,MATCH($B88,'ETAPA OBRA'!$B:$B,0))="x",'ETAPA OBRA'!Q$1&amp;", ","")&amp;
IF(INDEX('ETAPA OBRA'!R:R,MATCH($B88,'ETAPA OBRA'!$B:$B,0))="x",'ETAPA OBRA'!R$1&amp;", ","")&amp;
IF(INDEX('ETAPA OBRA'!S:S,MATCH($B88,'ETAPA OBRA'!$B:$B,0))="x",'ETAPA OBRA'!S$1&amp;", ","")&amp;
IF(INDEX('ETAPA OBRA'!T:T,MATCH($B88,'ETAPA OBRA'!$B:$B,0))="x",'ETAPA OBRA'!T$1&amp;", ","")&amp;
IF(INDEX('ETAPA OBRA'!U:U,MATCH($B88,'ETAPA OBRA'!$B:$B,0))="x",'ETAPA OBRA'!U$1&amp;", ","")
)-2),"")</f>
        <v>Homologação</v>
      </c>
      <c r="N88" s="23" t="str">
        <f t="shared" ca="1" si="9"/>
        <v>Em andamento</v>
      </c>
      <c r="O88" s="28">
        <v>113876.39</v>
      </c>
      <c r="P88" s="37">
        <f t="shared" si="10"/>
        <v>102.82</v>
      </c>
      <c r="Q88" s="28">
        <f t="shared" si="11"/>
        <v>113773.56999999999</v>
      </c>
      <c r="R88" s="29">
        <f t="shared" si="12"/>
        <v>0.99909709115295975</v>
      </c>
      <c r="S88" s="23" t="str">
        <f t="shared" si="13"/>
        <v>✅ OK - Fechar Parceiro</v>
      </c>
      <c r="T88" s="23" t="str">
        <f ca="1">Cronograma[[#This Row],[STATUS]]</f>
        <v>🕓 EM ANDAMENTO</v>
      </c>
    </row>
    <row r="89" spans="1:20" ht="15" customHeight="1" x14ac:dyDescent="0.3">
      <c r="A89" s="23" t="s">
        <v>284</v>
      </c>
      <c r="B89" s="23" t="str">
        <f>IF(A89&lt;&gt;"","contel-"&amp;TEXT(COUNTA($A$2:A89),"00"),"")</f>
        <v>contel-88</v>
      </c>
      <c r="C89" s="23" t="s">
        <v>280</v>
      </c>
      <c r="D89" s="23" t="s">
        <v>281</v>
      </c>
      <c r="E89" s="23" t="s">
        <v>75</v>
      </c>
      <c r="F89" s="52" t="s">
        <v>285</v>
      </c>
      <c r="G89" s="23">
        <v>1884</v>
      </c>
      <c r="H89" s="30">
        <v>26728</v>
      </c>
      <c r="I89" s="23" t="s">
        <v>283</v>
      </c>
      <c r="J89" s="25">
        <f>SUM(EQUIPE!C89,EQUIPE!E89,EQUIPE!G89,EQUIPE!I89,EQUIPE!K89,EQUIPE!M89,EQUIPE!O89)</f>
        <v>0</v>
      </c>
      <c r="K89" s="25">
        <v>0</v>
      </c>
      <c r="L89" s="25">
        <v>0</v>
      </c>
      <c r="M89" s="27" t="str">
        <f ca="1">IFERROR(LEFT(
IF(INDEX('ETAPA OBRA'!C:C,MATCH($B89,'ETAPA OBRA'!$B:$B,0))="x",'ETAPA OBRA'!C$1&amp;", ","")&amp;
IF(INDEX('ETAPA OBRA'!D:D,MATCH($B89,'ETAPA OBRA'!$B:$B,0))="x",'ETAPA OBRA'!D$1&amp;", ","")&amp;
IF(INDEX('ETAPA OBRA'!F:F,MATCH($B89,'ETAPA OBRA'!$B:$B,0))="x",'ETAPA OBRA'!F$1&amp;", ","")&amp;
IF(INDEX('ETAPA OBRA'!G:G,MATCH($B89,'ETAPA OBRA'!$B:$B,0))="x",'ETAPA OBRA'!G$1&amp;", ","")&amp;
IF(INDEX('ETAPA OBRA'!H:H,MATCH($B89,'ETAPA OBRA'!$B:$B,0))="x",'ETAPA OBRA'!H$1&amp;", ","")&amp;
IF(INDEX('ETAPA OBRA'!I:I,MATCH($B89,'ETAPA OBRA'!$B:$B,0))="x",'ETAPA OBRA'!I$1&amp;", ","")&amp;
IF(INDEX('ETAPA OBRA'!J:J,MATCH($B89,'ETAPA OBRA'!$B:$B,0))="x",'ETAPA OBRA'!J$1&amp;", ","")&amp;
IF(INDEX('ETAPA OBRA'!K:K,MATCH($B89,'ETAPA OBRA'!$B:$B,0))="x",'ETAPA OBRA'!K$1&amp;", ","")&amp;
IF(INDEX('ETAPA OBRA'!L:L,MATCH($B89,'ETAPA OBRA'!$B:$B,0))="x",'ETAPA OBRA'!L$1&amp;", ","")&amp;
IF(INDEX('ETAPA OBRA'!M:M,MATCH($B89,'ETAPA OBRA'!$B:$B,0))="x",'ETAPA OBRA'!M$1&amp;", ","")&amp;
IF(INDEX('ETAPA OBRA'!N:N,MATCH($B89,'ETAPA OBRA'!$B:$B,0))="x",'ETAPA OBRA'!N$1&amp;", ","")&amp;
IF(INDEX('ETAPA OBRA'!O:O,MATCH($B89,'ETAPA OBRA'!$B:$B,0))="x",'ETAPA OBRA'!O$1&amp;", ","")&amp;
IF(INDEX('ETAPA OBRA'!P:P,MATCH($B89,'ETAPA OBRA'!$B:$B,0))="x",'ETAPA OBRA'!P$1&amp;", ","")&amp;
IF(INDEX('ETAPA OBRA'!Q:Q,MATCH($B89,'ETAPA OBRA'!$B:$B,0))="x",'ETAPA OBRA'!Q$1&amp;", ","")&amp;
IF(INDEX('ETAPA OBRA'!R:R,MATCH($B89,'ETAPA OBRA'!$B:$B,0))="x",'ETAPA OBRA'!R$1&amp;", ","")&amp;
IF(INDEX('ETAPA OBRA'!S:S,MATCH($B89,'ETAPA OBRA'!$B:$B,0))="x",'ETAPA OBRA'!S$1&amp;", ","")&amp;
IF(INDEX('ETAPA OBRA'!T:T,MATCH($B89,'ETAPA OBRA'!$B:$B,0))="x",'ETAPA OBRA'!T$1&amp;", ","")&amp;
IF(INDEX('ETAPA OBRA'!U:U,MATCH($B89,'ETAPA OBRA'!$B:$B,0))="x",'ETAPA OBRA'!U$1&amp;", ",""),LEN(
IF(INDEX('ETAPA OBRA'!C:C,MATCH($B89,'ETAPA OBRA'!$B:$B,0))="x",'ETAPA OBRA'!C$1&amp;", ","")&amp;
IF(INDEX('ETAPA OBRA'!D:D,MATCH($B89,'ETAPA OBRA'!$B:$B,0))="x",'ETAPA OBRA'!D$1&amp;", ","")&amp;
IF(INDEX('ETAPA OBRA'!F:F,MATCH($B89,'ETAPA OBRA'!$B:$B,0))="x",'ETAPA OBRA'!F$1&amp;", ","")&amp;
IF(INDEX('ETAPA OBRA'!G:G,MATCH($B89,'ETAPA OBRA'!$B:$B,0))="x",'ETAPA OBRA'!G$1&amp;", ","")&amp;
IF(INDEX('ETAPA OBRA'!H:H,MATCH($B89,'ETAPA OBRA'!$B:$B,0))="x",'ETAPA OBRA'!H$1&amp;", ","")&amp;
IF(INDEX('ETAPA OBRA'!I:I,MATCH($B89,'ETAPA OBRA'!$B:$B,0))="x",'ETAPA OBRA'!I$1&amp;", ","")&amp;
IF(INDEX('ETAPA OBRA'!J:J,MATCH($B89,'ETAPA OBRA'!$B:$B,0))="x",'ETAPA OBRA'!J$1&amp;", ","")&amp;
IF(INDEX('ETAPA OBRA'!K:K,MATCH($B89,'ETAPA OBRA'!$B:$B,0))="x",'ETAPA OBRA'!K$1&amp;", ","")&amp;
IF(INDEX('ETAPA OBRA'!L:L,MATCH($B89,'ETAPA OBRA'!$B:$B,0))="x",'ETAPA OBRA'!L$1&amp;", ","")&amp;
IF(INDEX('ETAPA OBRA'!M:M,MATCH($B89,'ETAPA OBRA'!$B:$B,0))="x",'ETAPA OBRA'!M$1&amp;", ","")&amp;
IF(INDEX('ETAPA OBRA'!N:N,MATCH($B89,'ETAPA OBRA'!$B:$B,0))="x",'ETAPA OBRA'!N$1&amp;", ","")&amp;
IF(INDEX('ETAPA OBRA'!O:O,MATCH($B89,'ETAPA OBRA'!$B:$B,0))="x",'ETAPA OBRA'!O$1&amp;", ","")&amp;
IF(INDEX('ETAPA OBRA'!P:P,MATCH($B89,'ETAPA OBRA'!$B:$B,0))="x",'ETAPA OBRA'!P$1&amp;", ","")&amp;
IF(INDEX('ETAPA OBRA'!Q:Q,MATCH($B89,'ETAPA OBRA'!$B:$B,0))="x",'ETAPA OBRA'!Q$1&amp;", ","")&amp;
IF(INDEX('ETAPA OBRA'!R:R,MATCH($B89,'ETAPA OBRA'!$B:$B,0))="x",'ETAPA OBRA'!R$1&amp;", ","")&amp;
IF(INDEX('ETAPA OBRA'!S:S,MATCH($B89,'ETAPA OBRA'!$B:$B,0))="x",'ETAPA OBRA'!S$1&amp;", ","")&amp;
IF(INDEX('ETAPA OBRA'!T:T,MATCH($B89,'ETAPA OBRA'!$B:$B,0))="x",'ETAPA OBRA'!T$1&amp;", ","")&amp;
IF(INDEX('ETAPA OBRA'!U:U,MATCH($B89,'ETAPA OBRA'!$B:$B,0))="x",'ETAPA OBRA'!U$1&amp;", ","")
)-2),"")</f>
        <v>Homologação</v>
      </c>
      <c r="N89" s="23" t="str">
        <f t="shared" ca="1" si="9"/>
        <v>Em andamento</v>
      </c>
      <c r="O89" s="28">
        <v>474497.03</v>
      </c>
      <c r="P89" s="37">
        <f t="shared" si="10"/>
        <v>0</v>
      </c>
      <c r="Q89" s="28">
        <f t="shared" si="11"/>
        <v>474497.03</v>
      </c>
      <c r="R89" s="29">
        <f t="shared" si="12"/>
        <v>1</v>
      </c>
      <c r="S89" s="23" t="str">
        <f t="shared" si="13"/>
        <v>✅ OK - Fechar Parceiro</v>
      </c>
      <c r="T89" s="23" t="str">
        <f ca="1">Cronograma[[#This Row],[STATUS]]</f>
        <v>🕓 EM ANDAMENTO</v>
      </c>
    </row>
    <row r="90" spans="1:20" ht="15" customHeight="1" x14ac:dyDescent="0.3">
      <c r="A90" s="23" t="s">
        <v>286</v>
      </c>
      <c r="B90" s="23" t="str">
        <f>IF(A90&lt;&gt;"","contel-"&amp;TEXT(COUNTA($A$2:A90),"00"),"")</f>
        <v>contel-89</v>
      </c>
      <c r="C90" s="23" t="s">
        <v>280</v>
      </c>
      <c r="D90" s="23" t="s">
        <v>281</v>
      </c>
      <c r="E90" s="23" t="s">
        <v>75</v>
      </c>
      <c r="F90" s="52" t="s">
        <v>287</v>
      </c>
      <c r="G90" s="23">
        <v>1885</v>
      </c>
      <c r="H90" s="30">
        <v>26729</v>
      </c>
      <c r="I90" s="23" t="s">
        <v>283</v>
      </c>
      <c r="J90" s="25">
        <f>SUM(EQUIPE!C90,EQUIPE!E90,EQUIPE!G90,EQUIPE!I90,EQUIPE!K90,EQUIPE!M90,EQUIPE!O90)</f>
        <v>0</v>
      </c>
      <c r="K90" s="25">
        <v>0</v>
      </c>
      <c r="L90" s="25">
        <v>0</v>
      </c>
      <c r="M90" s="27" t="str">
        <f ca="1">IFERROR(LEFT(
IF(INDEX('ETAPA OBRA'!C:C,MATCH($B90,'ETAPA OBRA'!$B:$B,0))="x",'ETAPA OBRA'!C$1&amp;", ","")&amp;
IF(INDEX('ETAPA OBRA'!D:D,MATCH($B90,'ETAPA OBRA'!$B:$B,0))="x",'ETAPA OBRA'!D$1&amp;", ","")&amp;
IF(INDEX('ETAPA OBRA'!F:F,MATCH($B90,'ETAPA OBRA'!$B:$B,0))="x",'ETAPA OBRA'!F$1&amp;", ","")&amp;
IF(INDEX('ETAPA OBRA'!G:G,MATCH($B90,'ETAPA OBRA'!$B:$B,0))="x",'ETAPA OBRA'!G$1&amp;", ","")&amp;
IF(INDEX('ETAPA OBRA'!H:H,MATCH($B90,'ETAPA OBRA'!$B:$B,0))="x",'ETAPA OBRA'!H$1&amp;", ","")&amp;
IF(INDEX('ETAPA OBRA'!I:I,MATCH($B90,'ETAPA OBRA'!$B:$B,0))="x",'ETAPA OBRA'!I$1&amp;", ","")&amp;
IF(INDEX('ETAPA OBRA'!J:J,MATCH($B90,'ETAPA OBRA'!$B:$B,0))="x",'ETAPA OBRA'!J$1&amp;", ","")&amp;
IF(INDEX('ETAPA OBRA'!K:K,MATCH($B90,'ETAPA OBRA'!$B:$B,0))="x",'ETAPA OBRA'!K$1&amp;", ","")&amp;
IF(INDEX('ETAPA OBRA'!L:L,MATCH($B90,'ETAPA OBRA'!$B:$B,0))="x",'ETAPA OBRA'!L$1&amp;", ","")&amp;
IF(INDEX('ETAPA OBRA'!M:M,MATCH($B90,'ETAPA OBRA'!$B:$B,0))="x",'ETAPA OBRA'!M$1&amp;", ","")&amp;
IF(INDEX('ETAPA OBRA'!N:N,MATCH($B90,'ETAPA OBRA'!$B:$B,0))="x",'ETAPA OBRA'!N$1&amp;", ","")&amp;
IF(INDEX('ETAPA OBRA'!O:O,MATCH($B90,'ETAPA OBRA'!$B:$B,0))="x",'ETAPA OBRA'!O$1&amp;", ","")&amp;
IF(INDEX('ETAPA OBRA'!P:P,MATCH($B90,'ETAPA OBRA'!$B:$B,0))="x",'ETAPA OBRA'!P$1&amp;", ","")&amp;
IF(INDEX('ETAPA OBRA'!Q:Q,MATCH($B90,'ETAPA OBRA'!$B:$B,0))="x",'ETAPA OBRA'!Q$1&amp;", ","")&amp;
IF(INDEX('ETAPA OBRA'!R:R,MATCH($B90,'ETAPA OBRA'!$B:$B,0))="x",'ETAPA OBRA'!R$1&amp;", ","")&amp;
IF(INDEX('ETAPA OBRA'!S:S,MATCH($B90,'ETAPA OBRA'!$B:$B,0))="x",'ETAPA OBRA'!S$1&amp;", ","")&amp;
IF(INDEX('ETAPA OBRA'!T:T,MATCH($B90,'ETAPA OBRA'!$B:$B,0))="x",'ETAPA OBRA'!T$1&amp;", ","")&amp;
IF(INDEX('ETAPA OBRA'!U:U,MATCH($B90,'ETAPA OBRA'!$B:$B,0))="x",'ETAPA OBRA'!U$1&amp;", ",""),LEN(
IF(INDEX('ETAPA OBRA'!C:C,MATCH($B90,'ETAPA OBRA'!$B:$B,0))="x",'ETAPA OBRA'!C$1&amp;", ","")&amp;
IF(INDEX('ETAPA OBRA'!D:D,MATCH($B90,'ETAPA OBRA'!$B:$B,0))="x",'ETAPA OBRA'!D$1&amp;", ","")&amp;
IF(INDEX('ETAPA OBRA'!F:F,MATCH($B90,'ETAPA OBRA'!$B:$B,0))="x",'ETAPA OBRA'!F$1&amp;", ","")&amp;
IF(INDEX('ETAPA OBRA'!G:G,MATCH($B90,'ETAPA OBRA'!$B:$B,0))="x",'ETAPA OBRA'!G$1&amp;", ","")&amp;
IF(INDEX('ETAPA OBRA'!H:H,MATCH($B90,'ETAPA OBRA'!$B:$B,0))="x",'ETAPA OBRA'!H$1&amp;", ","")&amp;
IF(INDEX('ETAPA OBRA'!I:I,MATCH($B90,'ETAPA OBRA'!$B:$B,0))="x",'ETAPA OBRA'!I$1&amp;", ","")&amp;
IF(INDEX('ETAPA OBRA'!J:J,MATCH($B90,'ETAPA OBRA'!$B:$B,0))="x",'ETAPA OBRA'!J$1&amp;", ","")&amp;
IF(INDEX('ETAPA OBRA'!K:K,MATCH($B90,'ETAPA OBRA'!$B:$B,0))="x",'ETAPA OBRA'!K$1&amp;", ","")&amp;
IF(INDEX('ETAPA OBRA'!L:L,MATCH($B90,'ETAPA OBRA'!$B:$B,0))="x",'ETAPA OBRA'!L$1&amp;", ","")&amp;
IF(INDEX('ETAPA OBRA'!M:M,MATCH($B90,'ETAPA OBRA'!$B:$B,0))="x",'ETAPA OBRA'!M$1&amp;", ","")&amp;
IF(INDEX('ETAPA OBRA'!N:N,MATCH($B90,'ETAPA OBRA'!$B:$B,0))="x",'ETAPA OBRA'!N$1&amp;", ","")&amp;
IF(INDEX('ETAPA OBRA'!O:O,MATCH($B90,'ETAPA OBRA'!$B:$B,0))="x",'ETAPA OBRA'!O$1&amp;", ","")&amp;
IF(INDEX('ETAPA OBRA'!P:P,MATCH($B90,'ETAPA OBRA'!$B:$B,0))="x",'ETAPA OBRA'!P$1&amp;", ","")&amp;
IF(INDEX('ETAPA OBRA'!Q:Q,MATCH($B90,'ETAPA OBRA'!$B:$B,0))="x",'ETAPA OBRA'!Q$1&amp;", ","")&amp;
IF(INDEX('ETAPA OBRA'!R:R,MATCH($B90,'ETAPA OBRA'!$B:$B,0))="x",'ETAPA OBRA'!R$1&amp;", ","")&amp;
IF(INDEX('ETAPA OBRA'!S:S,MATCH($B90,'ETAPA OBRA'!$B:$B,0))="x",'ETAPA OBRA'!S$1&amp;", ","")&amp;
IF(INDEX('ETAPA OBRA'!T:T,MATCH($B90,'ETAPA OBRA'!$B:$B,0))="x",'ETAPA OBRA'!T$1&amp;", ","")&amp;
IF(INDEX('ETAPA OBRA'!U:U,MATCH($B90,'ETAPA OBRA'!$B:$B,0))="x",'ETAPA OBRA'!U$1&amp;", ","")
)-2),"")</f>
        <v>Homologação</v>
      </c>
      <c r="N90" s="23" t="str">
        <f t="shared" ca="1" si="9"/>
        <v>Em andamento</v>
      </c>
      <c r="O90" s="28">
        <v>493432.89</v>
      </c>
      <c r="P90" s="37">
        <f t="shared" si="10"/>
        <v>0</v>
      </c>
      <c r="Q90" s="28">
        <f t="shared" si="11"/>
        <v>493432.89</v>
      </c>
      <c r="R90" s="29">
        <f t="shared" si="12"/>
        <v>1</v>
      </c>
      <c r="S90" s="23" t="str">
        <f t="shared" si="13"/>
        <v>✅ OK - Fechar Parceiro</v>
      </c>
      <c r="T90" s="23" t="str">
        <f ca="1">Cronograma[[#This Row],[STATUS]]</f>
        <v>🕓 EM ANDAMENTO</v>
      </c>
    </row>
    <row r="91" spans="1:20" ht="15" customHeight="1" x14ac:dyDescent="0.3">
      <c r="A91" s="23" t="s">
        <v>288</v>
      </c>
      <c r="B91" s="23" t="str">
        <f>IF(A91&lt;&gt;"","contel-"&amp;TEXT(COUNTA($A$2:A91),"00"),"")</f>
        <v>contel-90</v>
      </c>
      <c r="C91" s="23" t="s">
        <v>280</v>
      </c>
      <c r="D91" s="23" t="s">
        <v>289</v>
      </c>
      <c r="E91" s="23" t="s">
        <v>75</v>
      </c>
      <c r="F91" s="52" t="s">
        <v>290</v>
      </c>
      <c r="G91" s="23">
        <v>1886</v>
      </c>
      <c r="H91" s="30">
        <v>26730</v>
      </c>
      <c r="I91" s="23" t="s">
        <v>283</v>
      </c>
      <c r="J91" s="25">
        <f>SUM(EQUIPE!C91,EQUIPE!E91,EQUIPE!G91,EQUIPE!I91,EQUIPE!K91,EQUIPE!M91,EQUIPE!O91)</f>
        <v>0</v>
      </c>
      <c r="K91" s="25">
        <v>0</v>
      </c>
      <c r="L91" s="25">
        <v>0</v>
      </c>
      <c r="M91" s="27" t="str">
        <f ca="1">IFERROR(LEFT(
IF(INDEX('ETAPA OBRA'!C:C,MATCH($B91,'ETAPA OBRA'!$B:$B,0))="x",'ETAPA OBRA'!C$1&amp;", ","")&amp;
IF(INDEX('ETAPA OBRA'!D:D,MATCH($B91,'ETAPA OBRA'!$B:$B,0))="x",'ETAPA OBRA'!D$1&amp;", ","")&amp;
IF(INDEX('ETAPA OBRA'!F:F,MATCH($B91,'ETAPA OBRA'!$B:$B,0))="x",'ETAPA OBRA'!F$1&amp;", ","")&amp;
IF(INDEX('ETAPA OBRA'!G:G,MATCH($B91,'ETAPA OBRA'!$B:$B,0))="x",'ETAPA OBRA'!G$1&amp;", ","")&amp;
IF(INDEX('ETAPA OBRA'!H:H,MATCH($B91,'ETAPA OBRA'!$B:$B,0))="x",'ETAPA OBRA'!H$1&amp;", ","")&amp;
IF(INDEX('ETAPA OBRA'!I:I,MATCH($B91,'ETAPA OBRA'!$B:$B,0))="x",'ETAPA OBRA'!I$1&amp;", ","")&amp;
IF(INDEX('ETAPA OBRA'!J:J,MATCH($B91,'ETAPA OBRA'!$B:$B,0))="x",'ETAPA OBRA'!J$1&amp;", ","")&amp;
IF(INDEX('ETAPA OBRA'!K:K,MATCH($B91,'ETAPA OBRA'!$B:$B,0))="x",'ETAPA OBRA'!K$1&amp;", ","")&amp;
IF(INDEX('ETAPA OBRA'!L:L,MATCH($B91,'ETAPA OBRA'!$B:$B,0))="x",'ETAPA OBRA'!L$1&amp;", ","")&amp;
IF(INDEX('ETAPA OBRA'!M:M,MATCH($B91,'ETAPA OBRA'!$B:$B,0))="x",'ETAPA OBRA'!M$1&amp;", ","")&amp;
IF(INDEX('ETAPA OBRA'!N:N,MATCH($B91,'ETAPA OBRA'!$B:$B,0))="x",'ETAPA OBRA'!N$1&amp;", ","")&amp;
IF(INDEX('ETAPA OBRA'!O:O,MATCH($B91,'ETAPA OBRA'!$B:$B,0))="x",'ETAPA OBRA'!O$1&amp;", ","")&amp;
IF(INDEX('ETAPA OBRA'!P:P,MATCH($B91,'ETAPA OBRA'!$B:$B,0))="x",'ETAPA OBRA'!P$1&amp;", ","")&amp;
IF(INDEX('ETAPA OBRA'!Q:Q,MATCH($B91,'ETAPA OBRA'!$B:$B,0))="x",'ETAPA OBRA'!Q$1&amp;", ","")&amp;
IF(INDEX('ETAPA OBRA'!R:R,MATCH($B91,'ETAPA OBRA'!$B:$B,0))="x",'ETAPA OBRA'!R$1&amp;", ","")&amp;
IF(INDEX('ETAPA OBRA'!S:S,MATCH($B91,'ETAPA OBRA'!$B:$B,0))="x",'ETAPA OBRA'!S$1&amp;", ","")&amp;
IF(INDEX('ETAPA OBRA'!T:T,MATCH($B91,'ETAPA OBRA'!$B:$B,0))="x",'ETAPA OBRA'!T$1&amp;", ","")&amp;
IF(INDEX('ETAPA OBRA'!U:U,MATCH($B91,'ETAPA OBRA'!$B:$B,0))="x",'ETAPA OBRA'!U$1&amp;", ",""),LEN(
IF(INDEX('ETAPA OBRA'!C:C,MATCH($B91,'ETAPA OBRA'!$B:$B,0))="x",'ETAPA OBRA'!C$1&amp;", ","")&amp;
IF(INDEX('ETAPA OBRA'!D:D,MATCH($B91,'ETAPA OBRA'!$B:$B,0))="x",'ETAPA OBRA'!D$1&amp;", ","")&amp;
IF(INDEX('ETAPA OBRA'!F:F,MATCH($B91,'ETAPA OBRA'!$B:$B,0))="x",'ETAPA OBRA'!F$1&amp;", ","")&amp;
IF(INDEX('ETAPA OBRA'!G:G,MATCH($B91,'ETAPA OBRA'!$B:$B,0))="x",'ETAPA OBRA'!G$1&amp;", ","")&amp;
IF(INDEX('ETAPA OBRA'!H:H,MATCH($B91,'ETAPA OBRA'!$B:$B,0))="x",'ETAPA OBRA'!H$1&amp;", ","")&amp;
IF(INDEX('ETAPA OBRA'!I:I,MATCH($B91,'ETAPA OBRA'!$B:$B,0))="x",'ETAPA OBRA'!I$1&amp;", ","")&amp;
IF(INDEX('ETAPA OBRA'!J:J,MATCH($B91,'ETAPA OBRA'!$B:$B,0))="x",'ETAPA OBRA'!J$1&amp;", ","")&amp;
IF(INDEX('ETAPA OBRA'!K:K,MATCH($B91,'ETAPA OBRA'!$B:$B,0))="x",'ETAPA OBRA'!K$1&amp;", ","")&amp;
IF(INDEX('ETAPA OBRA'!L:L,MATCH($B91,'ETAPA OBRA'!$B:$B,0))="x",'ETAPA OBRA'!L$1&amp;", ","")&amp;
IF(INDEX('ETAPA OBRA'!M:M,MATCH($B91,'ETAPA OBRA'!$B:$B,0))="x",'ETAPA OBRA'!M$1&amp;", ","")&amp;
IF(INDEX('ETAPA OBRA'!N:N,MATCH($B91,'ETAPA OBRA'!$B:$B,0))="x",'ETAPA OBRA'!N$1&amp;", ","")&amp;
IF(INDEX('ETAPA OBRA'!O:O,MATCH($B91,'ETAPA OBRA'!$B:$B,0))="x",'ETAPA OBRA'!O$1&amp;", ","")&amp;
IF(INDEX('ETAPA OBRA'!P:P,MATCH($B91,'ETAPA OBRA'!$B:$B,0))="x",'ETAPA OBRA'!P$1&amp;", ","")&amp;
IF(INDEX('ETAPA OBRA'!Q:Q,MATCH($B91,'ETAPA OBRA'!$B:$B,0))="x",'ETAPA OBRA'!Q$1&amp;", ","")&amp;
IF(INDEX('ETAPA OBRA'!R:R,MATCH($B91,'ETAPA OBRA'!$B:$B,0))="x",'ETAPA OBRA'!R$1&amp;", ","")&amp;
IF(INDEX('ETAPA OBRA'!S:S,MATCH($B91,'ETAPA OBRA'!$B:$B,0))="x",'ETAPA OBRA'!S$1&amp;", ","")&amp;
IF(INDEX('ETAPA OBRA'!T:T,MATCH($B91,'ETAPA OBRA'!$B:$B,0))="x",'ETAPA OBRA'!T$1&amp;", ","")&amp;
IF(INDEX('ETAPA OBRA'!U:U,MATCH($B91,'ETAPA OBRA'!$B:$B,0))="x",'ETAPA OBRA'!U$1&amp;", ","")
)-2),"")</f>
        <v>Homologação</v>
      </c>
      <c r="N91" s="23" t="str">
        <f t="shared" ca="1" si="9"/>
        <v>Em andamento</v>
      </c>
      <c r="O91" s="28">
        <v>493432.89</v>
      </c>
      <c r="P91" s="37">
        <f t="shared" si="10"/>
        <v>0</v>
      </c>
      <c r="Q91" s="28">
        <f t="shared" si="11"/>
        <v>493432.89</v>
      </c>
      <c r="R91" s="29">
        <f t="shared" si="12"/>
        <v>1</v>
      </c>
      <c r="S91" s="23" t="str">
        <f t="shared" si="13"/>
        <v>✅ OK - Fechar Parceiro</v>
      </c>
      <c r="T91" s="23" t="str">
        <f ca="1">Cronograma[[#This Row],[STATUS]]</f>
        <v>🕓 EM ANDAMENTO</v>
      </c>
    </row>
    <row r="92" spans="1:20" ht="15" customHeight="1" x14ac:dyDescent="0.3">
      <c r="A92" s="23" t="s">
        <v>291</v>
      </c>
      <c r="B92" s="23" t="str">
        <f>IF(A92&lt;&gt;"","contel-"&amp;TEXT(COUNTA($A$2:A92),"00"),"")</f>
        <v>contel-91</v>
      </c>
      <c r="C92" s="23" t="s">
        <v>280</v>
      </c>
      <c r="D92" s="23" t="s">
        <v>292</v>
      </c>
      <c r="E92" s="23" t="s">
        <v>75</v>
      </c>
      <c r="F92" s="52" t="s">
        <v>293</v>
      </c>
      <c r="G92" s="23">
        <v>1899</v>
      </c>
      <c r="H92" s="30">
        <v>27045</v>
      </c>
      <c r="I92" s="23" t="s">
        <v>283</v>
      </c>
      <c r="J92" s="25">
        <f>SUM(EQUIPE!C92,EQUIPE!E92,EQUIPE!G92,EQUIPE!I92,EQUIPE!K92,EQUIPE!M92,EQUIPE!O92)</f>
        <v>0</v>
      </c>
      <c r="K92" s="25">
        <v>0</v>
      </c>
      <c r="L92" s="25">
        <v>0</v>
      </c>
      <c r="M92" s="27" t="str">
        <f ca="1">IFERROR(LEFT(
IF(INDEX('ETAPA OBRA'!C:C,MATCH($B92,'ETAPA OBRA'!$B:$B,0))="x",'ETAPA OBRA'!C$1&amp;", ","")&amp;
IF(INDEX('ETAPA OBRA'!D:D,MATCH($B92,'ETAPA OBRA'!$B:$B,0))="x",'ETAPA OBRA'!D$1&amp;", ","")&amp;
IF(INDEX('ETAPA OBRA'!F:F,MATCH($B92,'ETAPA OBRA'!$B:$B,0))="x",'ETAPA OBRA'!F$1&amp;", ","")&amp;
IF(INDEX('ETAPA OBRA'!G:G,MATCH($B92,'ETAPA OBRA'!$B:$B,0))="x",'ETAPA OBRA'!G$1&amp;", ","")&amp;
IF(INDEX('ETAPA OBRA'!H:H,MATCH($B92,'ETAPA OBRA'!$B:$B,0))="x",'ETAPA OBRA'!H$1&amp;", ","")&amp;
IF(INDEX('ETAPA OBRA'!I:I,MATCH($B92,'ETAPA OBRA'!$B:$B,0))="x",'ETAPA OBRA'!I$1&amp;", ","")&amp;
IF(INDEX('ETAPA OBRA'!J:J,MATCH($B92,'ETAPA OBRA'!$B:$B,0))="x",'ETAPA OBRA'!J$1&amp;", ","")&amp;
IF(INDEX('ETAPA OBRA'!K:K,MATCH($B92,'ETAPA OBRA'!$B:$B,0))="x",'ETAPA OBRA'!K$1&amp;", ","")&amp;
IF(INDEX('ETAPA OBRA'!L:L,MATCH($B92,'ETAPA OBRA'!$B:$B,0))="x",'ETAPA OBRA'!L$1&amp;", ","")&amp;
IF(INDEX('ETAPA OBRA'!M:M,MATCH($B92,'ETAPA OBRA'!$B:$B,0))="x",'ETAPA OBRA'!M$1&amp;", ","")&amp;
IF(INDEX('ETAPA OBRA'!N:N,MATCH($B92,'ETAPA OBRA'!$B:$B,0))="x",'ETAPA OBRA'!N$1&amp;", ","")&amp;
IF(INDEX('ETAPA OBRA'!O:O,MATCH($B92,'ETAPA OBRA'!$B:$B,0))="x",'ETAPA OBRA'!O$1&amp;", ","")&amp;
IF(INDEX('ETAPA OBRA'!P:P,MATCH($B92,'ETAPA OBRA'!$B:$B,0))="x",'ETAPA OBRA'!P$1&amp;", ","")&amp;
IF(INDEX('ETAPA OBRA'!Q:Q,MATCH($B92,'ETAPA OBRA'!$B:$B,0))="x",'ETAPA OBRA'!Q$1&amp;", ","")&amp;
IF(INDEX('ETAPA OBRA'!R:R,MATCH($B92,'ETAPA OBRA'!$B:$B,0))="x",'ETAPA OBRA'!R$1&amp;", ","")&amp;
IF(INDEX('ETAPA OBRA'!S:S,MATCH($B92,'ETAPA OBRA'!$B:$B,0))="x",'ETAPA OBRA'!S$1&amp;", ","")&amp;
IF(INDEX('ETAPA OBRA'!T:T,MATCH($B92,'ETAPA OBRA'!$B:$B,0))="x",'ETAPA OBRA'!T$1&amp;", ","")&amp;
IF(INDEX('ETAPA OBRA'!U:U,MATCH($B92,'ETAPA OBRA'!$B:$B,0))="x",'ETAPA OBRA'!U$1&amp;", ",""),LEN(
IF(INDEX('ETAPA OBRA'!C:C,MATCH($B92,'ETAPA OBRA'!$B:$B,0))="x",'ETAPA OBRA'!C$1&amp;", ","")&amp;
IF(INDEX('ETAPA OBRA'!D:D,MATCH($B92,'ETAPA OBRA'!$B:$B,0))="x",'ETAPA OBRA'!D$1&amp;", ","")&amp;
IF(INDEX('ETAPA OBRA'!F:F,MATCH($B92,'ETAPA OBRA'!$B:$B,0))="x",'ETAPA OBRA'!F$1&amp;", ","")&amp;
IF(INDEX('ETAPA OBRA'!G:G,MATCH($B92,'ETAPA OBRA'!$B:$B,0))="x",'ETAPA OBRA'!G$1&amp;", ","")&amp;
IF(INDEX('ETAPA OBRA'!H:H,MATCH($B92,'ETAPA OBRA'!$B:$B,0))="x",'ETAPA OBRA'!H$1&amp;", ","")&amp;
IF(INDEX('ETAPA OBRA'!I:I,MATCH($B92,'ETAPA OBRA'!$B:$B,0))="x",'ETAPA OBRA'!I$1&amp;", ","")&amp;
IF(INDEX('ETAPA OBRA'!J:J,MATCH($B92,'ETAPA OBRA'!$B:$B,0))="x",'ETAPA OBRA'!J$1&amp;", ","")&amp;
IF(INDEX('ETAPA OBRA'!K:K,MATCH($B92,'ETAPA OBRA'!$B:$B,0))="x",'ETAPA OBRA'!K$1&amp;", ","")&amp;
IF(INDEX('ETAPA OBRA'!L:L,MATCH($B92,'ETAPA OBRA'!$B:$B,0))="x",'ETAPA OBRA'!L$1&amp;", ","")&amp;
IF(INDEX('ETAPA OBRA'!M:M,MATCH($B92,'ETAPA OBRA'!$B:$B,0))="x",'ETAPA OBRA'!M$1&amp;", ","")&amp;
IF(INDEX('ETAPA OBRA'!N:N,MATCH($B92,'ETAPA OBRA'!$B:$B,0))="x",'ETAPA OBRA'!N$1&amp;", ","")&amp;
IF(INDEX('ETAPA OBRA'!O:O,MATCH($B92,'ETAPA OBRA'!$B:$B,0))="x",'ETAPA OBRA'!O$1&amp;", ","")&amp;
IF(INDEX('ETAPA OBRA'!P:P,MATCH($B92,'ETAPA OBRA'!$B:$B,0))="x",'ETAPA OBRA'!P$1&amp;", ","")&amp;
IF(INDEX('ETAPA OBRA'!Q:Q,MATCH($B92,'ETAPA OBRA'!$B:$B,0))="x",'ETAPA OBRA'!Q$1&amp;", ","")&amp;
IF(INDEX('ETAPA OBRA'!R:R,MATCH($B92,'ETAPA OBRA'!$B:$B,0))="x",'ETAPA OBRA'!R$1&amp;", ","")&amp;
IF(INDEX('ETAPA OBRA'!S:S,MATCH($B92,'ETAPA OBRA'!$B:$B,0))="x",'ETAPA OBRA'!S$1&amp;", ","")&amp;
IF(INDEX('ETAPA OBRA'!T:T,MATCH($B92,'ETAPA OBRA'!$B:$B,0))="x",'ETAPA OBRA'!T$1&amp;", ","")&amp;
IF(INDEX('ETAPA OBRA'!U:U,MATCH($B92,'ETAPA OBRA'!$B:$B,0))="x",'ETAPA OBRA'!U$1&amp;", ","")
)-2),"")</f>
        <v>Homologação</v>
      </c>
      <c r="N92" s="23" t="str">
        <f t="shared" ca="1" si="9"/>
        <v>Em andamento</v>
      </c>
      <c r="O92" s="28">
        <v>759142.72</v>
      </c>
      <c r="P92" s="37">
        <f t="shared" si="10"/>
        <v>0</v>
      </c>
      <c r="Q92" s="28">
        <f t="shared" si="11"/>
        <v>759142.72</v>
      </c>
      <c r="R92" s="29">
        <f t="shared" si="12"/>
        <v>1</v>
      </c>
      <c r="S92" s="23" t="str">
        <f t="shared" si="13"/>
        <v>✅ OK - Fechar Parceiro</v>
      </c>
      <c r="T92" s="23" t="str">
        <f ca="1">Cronograma[[#This Row],[STATUS]]</f>
        <v>🕓 EM ANDAMENTO</v>
      </c>
    </row>
    <row r="93" spans="1:20" ht="15" customHeight="1" x14ac:dyDescent="0.3">
      <c r="A93" s="23" t="s">
        <v>294</v>
      </c>
      <c r="B93" s="23" t="str">
        <f>IF(A93&lt;&gt;"","contel-"&amp;TEXT(COUNTA($A$2:A93),"00"),"")</f>
        <v>contel-92</v>
      </c>
      <c r="C93" s="23" t="s">
        <v>280</v>
      </c>
      <c r="D93" s="23" t="s">
        <v>292</v>
      </c>
      <c r="E93" s="23" t="s">
        <v>75</v>
      </c>
      <c r="F93" s="52" t="s">
        <v>295</v>
      </c>
      <c r="G93" s="23">
        <v>1900</v>
      </c>
      <c r="H93" s="30">
        <v>27044</v>
      </c>
      <c r="I93" s="23" t="s">
        <v>283</v>
      </c>
      <c r="J93" s="25">
        <f>SUM(EQUIPE!C93,EQUIPE!E93,EQUIPE!G93,EQUIPE!I93,EQUIPE!K93,EQUIPE!M93,EQUIPE!O93)</f>
        <v>0</v>
      </c>
      <c r="K93" s="25">
        <v>0</v>
      </c>
      <c r="L93" s="25">
        <v>0</v>
      </c>
      <c r="M93" s="27" t="str">
        <f ca="1">IFERROR(LEFT(
IF(INDEX('ETAPA OBRA'!C:C,MATCH($B93,'ETAPA OBRA'!$B:$B,0))="x",'ETAPA OBRA'!C$1&amp;", ","")&amp;
IF(INDEX('ETAPA OBRA'!D:D,MATCH($B93,'ETAPA OBRA'!$B:$B,0))="x",'ETAPA OBRA'!D$1&amp;", ","")&amp;
IF(INDEX('ETAPA OBRA'!F:F,MATCH($B93,'ETAPA OBRA'!$B:$B,0))="x",'ETAPA OBRA'!F$1&amp;", ","")&amp;
IF(INDEX('ETAPA OBRA'!G:G,MATCH($B93,'ETAPA OBRA'!$B:$B,0))="x",'ETAPA OBRA'!G$1&amp;", ","")&amp;
IF(INDEX('ETAPA OBRA'!H:H,MATCH($B93,'ETAPA OBRA'!$B:$B,0))="x",'ETAPA OBRA'!H$1&amp;", ","")&amp;
IF(INDEX('ETAPA OBRA'!I:I,MATCH($B93,'ETAPA OBRA'!$B:$B,0))="x",'ETAPA OBRA'!I$1&amp;", ","")&amp;
IF(INDEX('ETAPA OBRA'!J:J,MATCH($B93,'ETAPA OBRA'!$B:$B,0))="x",'ETAPA OBRA'!J$1&amp;", ","")&amp;
IF(INDEX('ETAPA OBRA'!K:K,MATCH($B93,'ETAPA OBRA'!$B:$B,0))="x",'ETAPA OBRA'!K$1&amp;", ","")&amp;
IF(INDEX('ETAPA OBRA'!L:L,MATCH($B93,'ETAPA OBRA'!$B:$B,0))="x",'ETAPA OBRA'!L$1&amp;", ","")&amp;
IF(INDEX('ETAPA OBRA'!M:M,MATCH($B93,'ETAPA OBRA'!$B:$B,0))="x",'ETAPA OBRA'!M$1&amp;", ","")&amp;
IF(INDEX('ETAPA OBRA'!N:N,MATCH($B93,'ETAPA OBRA'!$B:$B,0))="x",'ETAPA OBRA'!N$1&amp;", ","")&amp;
IF(INDEX('ETAPA OBRA'!O:O,MATCH($B93,'ETAPA OBRA'!$B:$B,0))="x",'ETAPA OBRA'!O$1&amp;", ","")&amp;
IF(INDEX('ETAPA OBRA'!P:P,MATCH($B93,'ETAPA OBRA'!$B:$B,0))="x",'ETAPA OBRA'!P$1&amp;", ","")&amp;
IF(INDEX('ETAPA OBRA'!Q:Q,MATCH($B93,'ETAPA OBRA'!$B:$B,0))="x",'ETAPA OBRA'!Q$1&amp;", ","")&amp;
IF(INDEX('ETAPA OBRA'!R:R,MATCH($B93,'ETAPA OBRA'!$B:$B,0))="x",'ETAPA OBRA'!R$1&amp;", ","")&amp;
IF(INDEX('ETAPA OBRA'!S:S,MATCH($B93,'ETAPA OBRA'!$B:$B,0))="x",'ETAPA OBRA'!S$1&amp;", ","")&amp;
IF(INDEX('ETAPA OBRA'!T:T,MATCH($B93,'ETAPA OBRA'!$B:$B,0))="x",'ETAPA OBRA'!T$1&amp;", ","")&amp;
IF(INDEX('ETAPA OBRA'!U:U,MATCH($B93,'ETAPA OBRA'!$B:$B,0))="x",'ETAPA OBRA'!U$1&amp;", ",""),LEN(
IF(INDEX('ETAPA OBRA'!C:C,MATCH($B93,'ETAPA OBRA'!$B:$B,0))="x",'ETAPA OBRA'!C$1&amp;", ","")&amp;
IF(INDEX('ETAPA OBRA'!D:D,MATCH($B93,'ETAPA OBRA'!$B:$B,0))="x",'ETAPA OBRA'!D$1&amp;", ","")&amp;
IF(INDEX('ETAPA OBRA'!F:F,MATCH($B93,'ETAPA OBRA'!$B:$B,0))="x",'ETAPA OBRA'!F$1&amp;", ","")&amp;
IF(INDEX('ETAPA OBRA'!G:G,MATCH($B93,'ETAPA OBRA'!$B:$B,0))="x",'ETAPA OBRA'!G$1&amp;", ","")&amp;
IF(INDEX('ETAPA OBRA'!H:H,MATCH($B93,'ETAPA OBRA'!$B:$B,0))="x",'ETAPA OBRA'!H$1&amp;", ","")&amp;
IF(INDEX('ETAPA OBRA'!I:I,MATCH($B93,'ETAPA OBRA'!$B:$B,0))="x",'ETAPA OBRA'!I$1&amp;", ","")&amp;
IF(INDEX('ETAPA OBRA'!J:J,MATCH($B93,'ETAPA OBRA'!$B:$B,0))="x",'ETAPA OBRA'!J$1&amp;", ","")&amp;
IF(INDEX('ETAPA OBRA'!K:K,MATCH($B93,'ETAPA OBRA'!$B:$B,0))="x",'ETAPA OBRA'!K$1&amp;", ","")&amp;
IF(INDEX('ETAPA OBRA'!L:L,MATCH($B93,'ETAPA OBRA'!$B:$B,0))="x",'ETAPA OBRA'!L$1&amp;", ","")&amp;
IF(INDEX('ETAPA OBRA'!M:M,MATCH($B93,'ETAPA OBRA'!$B:$B,0))="x",'ETAPA OBRA'!M$1&amp;", ","")&amp;
IF(INDEX('ETAPA OBRA'!N:N,MATCH($B93,'ETAPA OBRA'!$B:$B,0))="x",'ETAPA OBRA'!N$1&amp;", ","")&amp;
IF(INDEX('ETAPA OBRA'!O:O,MATCH($B93,'ETAPA OBRA'!$B:$B,0))="x",'ETAPA OBRA'!O$1&amp;", ","")&amp;
IF(INDEX('ETAPA OBRA'!P:P,MATCH($B93,'ETAPA OBRA'!$B:$B,0))="x",'ETAPA OBRA'!P$1&amp;", ","")&amp;
IF(INDEX('ETAPA OBRA'!Q:Q,MATCH($B93,'ETAPA OBRA'!$B:$B,0))="x",'ETAPA OBRA'!Q$1&amp;", ","")&amp;
IF(INDEX('ETAPA OBRA'!R:R,MATCH($B93,'ETAPA OBRA'!$B:$B,0))="x",'ETAPA OBRA'!R$1&amp;", ","")&amp;
IF(INDEX('ETAPA OBRA'!S:S,MATCH($B93,'ETAPA OBRA'!$B:$B,0))="x",'ETAPA OBRA'!S$1&amp;", ","")&amp;
IF(INDEX('ETAPA OBRA'!T:T,MATCH($B93,'ETAPA OBRA'!$B:$B,0))="x",'ETAPA OBRA'!T$1&amp;", ","")&amp;
IF(INDEX('ETAPA OBRA'!U:U,MATCH($B93,'ETAPA OBRA'!$B:$B,0))="x",'ETAPA OBRA'!U$1&amp;", ","")
)-2),"")</f>
        <v>Homologação</v>
      </c>
      <c r="N93" s="23" t="str">
        <f t="shared" ca="1" si="9"/>
        <v>Em andamento</v>
      </c>
      <c r="O93" s="28">
        <v>1022953.53</v>
      </c>
      <c r="P93" s="37">
        <f t="shared" si="10"/>
        <v>0</v>
      </c>
      <c r="Q93" s="28">
        <f t="shared" si="11"/>
        <v>1022953.53</v>
      </c>
      <c r="R93" s="29">
        <f t="shared" si="12"/>
        <v>1</v>
      </c>
      <c r="S93" s="23" t="str">
        <f t="shared" si="13"/>
        <v>✅ OK - Fechar Parceiro</v>
      </c>
      <c r="T93" s="23" t="str">
        <f ca="1">Cronograma[[#This Row],[STATUS]]</f>
        <v>🕓 EM ANDAMENTO</v>
      </c>
    </row>
    <row r="94" spans="1:20" ht="15" customHeight="1" x14ac:dyDescent="0.3">
      <c r="A94" s="23" t="s">
        <v>296</v>
      </c>
      <c r="B94" s="23" t="str">
        <f>IF(A94&lt;&gt;"","contel-"&amp;TEXT(COUNTA($A$2:A94),"00"),"")</f>
        <v>contel-93</v>
      </c>
      <c r="C94" s="23" t="s">
        <v>120</v>
      </c>
      <c r="D94" s="23" t="s">
        <v>187</v>
      </c>
      <c r="E94" s="23" t="s">
        <v>188</v>
      </c>
      <c r="F94" s="52" t="s">
        <v>295</v>
      </c>
      <c r="G94" s="23">
        <v>1727</v>
      </c>
      <c r="H94" s="30">
        <v>15827</v>
      </c>
      <c r="I94" s="23" t="s">
        <v>297</v>
      </c>
      <c r="J94" s="25">
        <f>SUM(EQUIPE!C94,EQUIPE!E94,EQUIPE!G94,EQUIPE!I94,EQUIPE!K94,EQUIPE!M94,EQUIPE!O94)</f>
        <v>3000</v>
      </c>
      <c r="K94" s="25">
        <v>4508.62</v>
      </c>
      <c r="L94" s="25">
        <v>0</v>
      </c>
      <c r="M94" s="27" t="str">
        <f ca="1">IFERROR(LEFT(
IF(INDEX('ETAPA OBRA'!C:C,MATCH($B94,'ETAPA OBRA'!$B:$B,0))="x",'ETAPA OBRA'!C$1&amp;", ","")&amp;
IF(INDEX('ETAPA OBRA'!D:D,MATCH($B94,'ETAPA OBRA'!$B:$B,0))="x",'ETAPA OBRA'!D$1&amp;", ","")&amp;
IF(INDEX('ETAPA OBRA'!F:F,MATCH($B94,'ETAPA OBRA'!$B:$B,0))="x",'ETAPA OBRA'!F$1&amp;", ","")&amp;
IF(INDEX('ETAPA OBRA'!G:G,MATCH($B94,'ETAPA OBRA'!$B:$B,0))="x",'ETAPA OBRA'!G$1&amp;", ","")&amp;
IF(INDEX('ETAPA OBRA'!H:H,MATCH($B94,'ETAPA OBRA'!$B:$B,0))="x",'ETAPA OBRA'!H$1&amp;", ","")&amp;
IF(INDEX('ETAPA OBRA'!I:I,MATCH($B94,'ETAPA OBRA'!$B:$B,0))="x",'ETAPA OBRA'!I$1&amp;", ","")&amp;
IF(INDEX('ETAPA OBRA'!J:J,MATCH($B94,'ETAPA OBRA'!$B:$B,0))="x",'ETAPA OBRA'!J$1&amp;", ","")&amp;
IF(INDEX('ETAPA OBRA'!K:K,MATCH($B94,'ETAPA OBRA'!$B:$B,0))="x",'ETAPA OBRA'!K$1&amp;", ","")&amp;
IF(INDEX('ETAPA OBRA'!L:L,MATCH($B94,'ETAPA OBRA'!$B:$B,0))="x",'ETAPA OBRA'!L$1&amp;", ","")&amp;
IF(INDEX('ETAPA OBRA'!M:M,MATCH($B94,'ETAPA OBRA'!$B:$B,0))="x",'ETAPA OBRA'!M$1&amp;", ","")&amp;
IF(INDEX('ETAPA OBRA'!N:N,MATCH($B94,'ETAPA OBRA'!$B:$B,0))="x",'ETAPA OBRA'!N$1&amp;", ","")&amp;
IF(INDEX('ETAPA OBRA'!O:O,MATCH($B94,'ETAPA OBRA'!$B:$B,0))="x",'ETAPA OBRA'!O$1&amp;", ","")&amp;
IF(INDEX('ETAPA OBRA'!P:P,MATCH($B94,'ETAPA OBRA'!$B:$B,0))="x",'ETAPA OBRA'!P$1&amp;", ","")&amp;
IF(INDEX('ETAPA OBRA'!Q:Q,MATCH($B94,'ETAPA OBRA'!$B:$B,0))="x",'ETAPA OBRA'!Q$1&amp;", ","")&amp;
IF(INDEX('ETAPA OBRA'!R:R,MATCH($B94,'ETAPA OBRA'!$B:$B,0))="x",'ETAPA OBRA'!R$1&amp;", ","")&amp;
IF(INDEX('ETAPA OBRA'!S:S,MATCH($B94,'ETAPA OBRA'!$B:$B,0))="x",'ETAPA OBRA'!S$1&amp;", ","")&amp;
IF(INDEX('ETAPA OBRA'!T:T,MATCH($B94,'ETAPA OBRA'!$B:$B,0))="x",'ETAPA OBRA'!T$1&amp;", ","")&amp;
IF(INDEX('ETAPA OBRA'!U:U,MATCH($B94,'ETAPA OBRA'!$B:$B,0))="x",'ETAPA OBRA'!U$1&amp;", ",""),LEN(
IF(INDEX('ETAPA OBRA'!C:C,MATCH($B94,'ETAPA OBRA'!$B:$B,0))="x",'ETAPA OBRA'!C$1&amp;", ","")&amp;
IF(INDEX('ETAPA OBRA'!D:D,MATCH($B94,'ETAPA OBRA'!$B:$B,0))="x",'ETAPA OBRA'!D$1&amp;", ","")&amp;
IF(INDEX('ETAPA OBRA'!F:F,MATCH($B94,'ETAPA OBRA'!$B:$B,0))="x",'ETAPA OBRA'!F$1&amp;", ","")&amp;
IF(INDEX('ETAPA OBRA'!G:G,MATCH($B94,'ETAPA OBRA'!$B:$B,0))="x",'ETAPA OBRA'!G$1&amp;", ","")&amp;
IF(INDEX('ETAPA OBRA'!H:H,MATCH($B94,'ETAPA OBRA'!$B:$B,0))="x",'ETAPA OBRA'!H$1&amp;", ","")&amp;
IF(INDEX('ETAPA OBRA'!I:I,MATCH($B94,'ETAPA OBRA'!$B:$B,0))="x",'ETAPA OBRA'!I$1&amp;", ","")&amp;
IF(INDEX('ETAPA OBRA'!J:J,MATCH($B94,'ETAPA OBRA'!$B:$B,0))="x",'ETAPA OBRA'!J$1&amp;", ","")&amp;
IF(INDEX('ETAPA OBRA'!K:K,MATCH($B94,'ETAPA OBRA'!$B:$B,0))="x",'ETAPA OBRA'!K$1&amp;", ","")&amp;
IF(INDEX('ETAPA OBRA'!L:L,MATCH($B94,'ETAPA OBRA'!$B:$B,0))="x",'ETAPA OBRA'!L$1&amp;", ","")&amp;
IF(INDEX('ETAPA OBRA'!M:M,MATCH($B94,'ETAPA OBRA'!$B:$B,0))="x",'ETAPA OBRA'!M$1&amp;", ","")&amp;
IF(INDEX('ETAPA OBRA'!N:N,MATCH($B94,'ETAPA OBRA'!$B:$B,0))="x",'ETAPA OBRA'!N$1&amp;", ","")&amp;
IF(INDEX('ETAPA OBRA'!O:O,MATCH($B94,'ETAPA OBRA'!$B:$B,0))="x",'ETAPA OBRA'!O$1&amp;", ","")&amp;
IF(INDEX('ETAPA OBRA'!P:P,MATCH($B94,'ETAPA OBRA'!$B:$B,0))="x",'ETAPA OBRA'!P$1&amp;", ","")&amp;
IF(INDEX('ETAPA OBRA'!Q:Q,MATCH($B94,'ETAPA OBRA'!$B:$B,0))="x",'ETAPA OBRA'!Q$1&amp;", ","")&amp;
IF(INDEX('ETAPA OBRA'!R:R,MATCH($B94,'ETAPA OBRA'!$B:$B,0))="x",'ETAPA OBRA'!R$1&amp;", ","")&amp;
IF(INDEX('ETAPA OBRA'!S:S,MATCH($B94,'ETAPA OBRA'!$B:$B,0))="x",'ETAPA OBRA'!S$1&amp;", ","")&amp;
IF(INDEX('ETAPA OBRA'!T:T,MATCH($B94,'ETAPA OBRA'!$B:$B,0))="x",'ETAPA OBRA'!T$1&amp;", ","")&amp;
IF(INDEX('ETAPA OBRA'!U:U,MATCH($B94,'ETAPA OBRA'!$B:$B,0))="x",'ETAPA OBRA'!U$1&amp;", ","")
)-2),"")</f>
        <v xml:space="preserve">Envio RFI </v>
      </c>
      <c r="N94" s="23" t="str">
        <f t="shared" ca="1" si="9"/>
        <v>Em andamento</v>
      </c>
      <c r="O94" s="28">
        <v>22988.16</v>
      </c>
      <c r="P94" s="37">
        <f t="shared" si="10"/>
        <v>7508.62</v>
      </c>
      <c r="Q94" s="28">
        <f t="shared" si="11"/>
        <v>15479.54</v>
      </c>
      <c r="R94" s="29">
        <f t="shared" si="12"/>
        <v>0.67337011748656705</v>
      </c>
      <c r="S94" s="23" t="str">
        <f t="shared" si="13"/>
        <v>✅ OK - Fechar Parceiro</v>
      </c>
      <c r="T94" s="23" t="str">
        <f ca="1">Cronograma[[#This Row],[STATUS]]</f>
        <v>⏰ ATRASADO</v>
      </c>
    </row>
    <row r="95" spans="1:20" ht="15" customHeight="1" x14ac:dyDescent="0.3">
      <c r="A95" s="23" t="s">
        <v>298</v>
      </c>
      <c r="B95" s="23" t="str">
        <f>IF(A95&lt;&gt;"","contel-"&amp;TEXT(COUNTA($A$2:A95),"00"),"")</f>
        <v>contel-94</v>
      </c>
      <c r="C95" s="23" t="s">
        <v>120</v>
      </c>
      <c r="D95" s="23" t="s">
        <v>202</v>
      </c>
      <c r="E95" s="23" t="s">
        <v>125</v>
      </c>
      <c r="F95" s="52" t="s">
        <v>299</v>
      </c>
      <c r="G95" s="23">
        <v>1758</v>
      </c>
      <c r="H95" s="30">
        <v>15938</v>
      </c>
      <c r="I95" s="23" t="s">
        <v>297</v>
      </c>
      <c r="J95" s="25">
        <f>SUM(EQUIPE!C95,EQUIPE!E95,EQUIPE!G95,EQUIPE!I95,EQUIPE!K95,EQUIPE!M95,EQUIPE!O95)</f>
        <v>3500</v>
      </c>
      <c r="K95" s="25">
        <v>3473.75</v>
      </c>
      <c r="L95" s="25">
        <v>0</v>
      </c>
      <c r="M95" s="27" t="str">
        <f>IFERROR(LEFT(
IF(INDEX('ETAPA OBRA'!C:C,MATCH($B95,'ETAPA OBRA'!$B:$B,0))="x",'ETAPA OBRA'!C$1&amp;", ","")&amp;
IF(INDEX('ETAPA OBRA'!D:D,MATCH($B95,'ETAPA OBRA'!$B:$B,0))="x",'ETAPA OBRA'!D$1&amp;", ","")&amp;
IF(INDEX('ETAPA OBRA'!F:F,MATCH($B95,'ETAPA OBRA'!$B:$B,0))="x",'ETAPA OBRA'!F$1&amp;", ","")&amp;
IF(INDEX('ETAPA OBRA'!G:G,MATCH($B95,'ETAPA OBRA'!$B:$B,0))="x",'ETAPA OBRA'!G$1&amp;", ","")&amp;
IF(INDEX('ETAPA OBRA'!H:H,MATCH($B95,'ETAPA OBRA'!$B:$B,0))="x",'ETAPA OBRA'!H$1&amp;", ","")&amp;
IF(INDEX('ETAPA OBRA'!I:I,MATCH($B95,'ETAPA OBRA'!$B:$B,0))="x",'ETAPA OBRA'!I$1&amp;", ","")&amp;
IF(INDEX('ETAPA OBRA'!J:J,MATCH($B95,'ETAPA OBRA'!$B:$B,0))="x",'ETAPA OBRA'!J$1&amp;", ","")&amp;
IF(INDEX('ETAPA OBRA'!K:K,MATCH($B95,'ETAPA OBRA'!$B:$B,0))="x",'ETAPA OBRA'!K$1&amp;", ","")&amp;
IF(INDEX('ETAPA OBRA'!L:L,MATCH($B95,'ETAPA OBRA'!$B:$B,0))="x",'ETAPA OBRA'!L$1&amp;", ","")&amp;
IF(INDEX('ETAPA OBRA'!M:M,MATCH($B95,'ETAPA OBRA'!$B:$B,0))="x",'ETAPA OBRA'!M$1&amp;", ","")&amp;
IF(INDEX('ETAPA OBRA'!N:N,MATCH($B95,'ETAPA OBRA'!$B:$B,0))="x",'ETAPA OBRA'!N$1&amp;", ","")&amp;
IF(INDEX('ETAPA OBRA'!O:O,MATCH($B95,'ETAPA OBRA'!$B:$B,0))="x",'ETAPA OBRA'!O$1&amp;", ","")&amp;
IF(INDEX('ETAPA OBRA'!P:P,MATCH($B95,'ETAPA OBRA'!$B:$B,0))="x",'ETAPA OBRA'!P$1&amp;", ","")&amp;
IF(INDEX('ETAPA OBRA'!Q:Q,MATCH($B95,'ETAPA OBRA'!$B:$B,0))="x",'ETAPA OBRA'!Q$1&amp;", ","")&amp;
IF(INDEX('ETAPA OBRA'!R:R,MATCH($B95,'ETAPA OBRA'!$B:$B,0))="x",'ETAPA OBRA'!R$1&amp;", ","")&amp;
IF(INDEX('ETAPA OBRA'!S:S,MATCH($B95,'ETAPA OBRA'!$B:$B,0))="x",'ETAPA OBRA'!S$1&amp;", ","")&amp;
IF(INDEX('ETAPA OBRA'!T:T,MATCH($B95,'ETAPA OBRA'!$B:$B,0))="x",'ETAPA OBRA'!T$1&amp;", ","")&amp;
IF(INDEX('ETAPA OBRA'!U:U,MATCH($B95,'ETAPA OBRA'!$B:$B,0))="x",'ETAPA OBRA'!U$1&amp;", ",""),LEN(
IF(INDEX('ETAPA OBRA'!C:C,MATCH($B95,'ETAPA OBRA'!$B:$B,0))="x",'ETAPA OBRA'!C$1&amp;", ","")&amp;
IF(INDEX('ETAPA OBRA'!D:D,MATCH($B95,'ETAPA OBRA'!$B:$B,0))="x",'ETAPA OBRA'!D$1&amp;", ","")&amp;
IF(INDEX('ETAPA OBRA'!F:F,MATCH($B95,'ETAPA OBRA'!$B:$B,0))="x",'ETAPA OBRA'!F$1&amp;", ","")&amp;
IF(INDEX('ETAPA OBRA'!G:G,MATCH($B95,'ETAPA OBRA'!$B:$B,0))="x",'ETAPA OBRA'!G$1&amp;", ","")&amp;
IF(INDEX('ETAPA OBRA'!H:H,MATCH($B95,'ETAPA OBRA'!$B:$B,0))="x",'ETAPA OBRA'!H$1&amp;", ","")&amp;
IF(INDEX('ETAPA OBRA'!I:I,MATCH($B95,'ETAPA OBRA'!$B:$B,0))="x",'ETAPA OBRA'!I$1&amp;", ","")&amp;
IF(INDEX('ETAPA OBRA'!J:J,MATCH($B95,'ETAPA OBRA'!$B:$B,0))="x",'ETAPA OBRA'!J$1&amp;", ","")&amp;
IF(INDEX('ETAPA OBRA'!K:K,MATCH($B95,'ETAPA OBRA'!$B:$B,0))="x",'ETAPA OBRA'!K$1&amp;", ","")&amp;
IF(INDEX('ETAPA OBRA'!L:L,MATCH($B95,'ETAPA OBRA'!$B:$B,0))="x",'ETAPA OBRA'!L$1&amp;", ","")&amp;
IF(INDEX('ETAPA OBRA'!M:M,MATCH($B95,'ETAPA OBRA'!$B:$B,0))="x",'ETAPA OBRA'!M$1&amp;", ","")&amp;
IF(INDEX('ETAPA OBRA'!N:N,MATCH($B95,'ETAPA OBRA'!$B:$B,0))="x",'ETAPA OBRA'!N$1&amp;", ","")&amp;
IF(INDEX('ETAPA OBRA'!O:O,MATCH($B95,'ETAPA OBRA'!$B:$B,0))="x",'ETAPA OBRA'!O$1&amp;", ","")&amp;
IF(INDEX('ETAPA OBRA'!P:P,MATCH($B95,'ETAPA OBRA'!$B:$B,0))="x",'ETAPA OBRA'!P$1&amp;", ","")&amp;
IF(INDEX('ETAPA OBRA'!Q:Q,MATCH($B95,'ETAPA OBRA'!$B:$B,0))="x",'ETAPA OBRA'!Q$1&amp;", ","")&amp;
IF(INDEX('ETAPA OBRA'!R:R,MATCH($B95,'ETAPA OBRA'!$B:$B,0))="x",'ETAPA OBRA'!R$1&amp;", ","")&amp;
IF(INDEX('ETAPA OBRA'!S:S,MATCH($B95,'ETAPA OBRA'!$B:$B,0))="x",'ETAPA OBRA'!S$1&amp;", ","")&amp;
IF(INDEX('ETAPA OBRA'!T:T,MATCH($B95,'ETAPA OBRA'!$B:$B,0))="x",'ETAPA OBRA'!T$1&amp;", ","")&amp;
IF(INDEX('ETAPA OBRA'!U:U,MATCH($B95,'ETAPA OBRA'!$B:$B,0))="x",'ETAPA OBRA'!U$1&amp;", ","")
)-2),"")</f>
        <v>Cancelada</v>
      </c>
      <c r="N95" s="23" t="str">
        <f t="shared" si="9"/>
        <v>Cancelada</v>
      </c>
      <c r="O95" s="28">
        <v>19576.939999999999</v>
      </c>
      <c r="P95" s="37">
        <f t="shared" si="10"/>
        <v>6973.75</v>
      </c>
      <c r="Q95" s="28">
        <f t="shared" si="11"/>
        <v>12603.189999999999</v>
      </c>
      <c r="R95" s="29">
        <f t="shared" si="12"/>
        <v>0.64377732168561586</v>
      </c>
      <c r="S95" s="23" t="str">
        <f t="shared" si="13"/>
        <v>✅ OK - Fechar Parceiro</v>
      </c>
      <c r="T95" s="23" t="str">
        <f>Cronograma[[#This Row],[STATUS]]</f>
        <v>🚫CANCELADO</v>
      </c>
    </row>
    <row r="96" spans="1:20" ht="15" customHeight="1" x14ac:dyDescent="0.3">
      <c r="A96" s="23" t="s">
        <v>300</v>
      </c>
      <c r="B96" s="23" t="str">
        <f>IF(A96&lt;&gt;"","contel-"&amp;TEXT(COUNTA($A$2:A96),"00"),"")</f>
        <v>contel-95</v>
      </c>
      <c r="C96" s="23" t="s">
        <v>120</v>
      </c>
      <c r="D96" s="23" t="s">
        <v>301</v>
      </c>
      <c r="E96" s="23" t="s">
        <v>302</v>
      </c>
      <c r="F96" s="52" t="s">
        <v>303</v>
      </c>
      <c r="G96" s="23">
        <v>1847</v>
      </c>
      <c r="H96" s="30">
        <v>4039</v>
      </c>
      <c r="I96" s="23" t="s">
        <v>34</v>
      </c>
      <c r="J96" s="25">
        <f>SUM(EQUIPE!C96,EQUIPE!E96,EQUIPE!G96,EQUIPE!I96,EQUIPE!K96,EQUIPE!M96,EQUIPE!O96)</f>
        <v>12200</v>
      </c>
      <c r="K96" s="25">
        <v>1047.74</v>
      </c>
      <c r="L96" s="25">
        <v>0</v>
      </c>
      <c r="M96" s="27" t="str">
        <f>IFERROR(LEFT(
IF(INDEX('ETAPA OBRA'!C:C,MATCH($B96,'ETAPA OBRA'!$B:$B,0))="x",'ETAPA OBRA'!C$1&amp;", ","")&amp;
IF(INDEX('ETAPA OBRA'!D:D,MATCH($B96,'ETAPA OBRA'!$B:$B,0))="x",'ETAPA OBRA'!D$1&amp;", ","")&amp;
IF(INDEX('ETAPA OBRA'!F:F,MATCH($B96,'ETAPA OBRA'!$B:$B,0))="x",'ETAPA OBRA'!F$1&amp;", ","")&amp;
IF(INDEX('ETAPA OBRA'!G:G,MATCH($B96,'ETAPA OBRA'!$B:$B,0))="x",'ETAPA OBRA'!G$1&amp;", ","")&amp;
IF(INDEX('ETAPA OBRA'!H:H,MATCH($B96,'ETAPA OBRA'!$B:$B,0))="x",'ETAPA OBRA'!H$1&amp;", ","")&amp;
IF(INDEX('ETAPA OBRA'!I:I,MATCH($B96,'ETAPA OBRA'!$B:$B,0))="x",'ETAPA OBRA'!I$1&amp;", ","")&amp;
IF(INDEX('ETAPA OBRA'!J:J,MATCH($B96,'ETAPA OBRA'!$B:$B,0))="x",'ETAPA OBRA'!J$1&amp;", ","")&amp;
IF(INDEX('ETAPA OBRA'!K:K,MATCH($B96,'ETAPA OBRA'!$B:$B,0))="x",'ETAPA OBRA'!K$1&amp;", ","")&amp;
IF(INDEX('ETAPA OBRA'!L:L,MATCH($B96,'ETAPA OBRA'!$B:$B,0))="x",'ETAPA OBRA'!L$1&amp;", ","")&amp;
IF(INDEX('ETAPA OBRA'!M:M,MATCH($B96,'ETAPA OBRA'!$B:$B,0))="x",'ETAPA OBRA'!M$1&amp;", ","")&amp;
IF(INDEX('ETAPA OBRA'!N:N,MATCH($B96,'ETAPA OBRA'!$B:$B,0))="x",'ETAPA OBRA'!N$1&amp;", ","")&amp;
IF(INDEX('ETAPA OBRA'!O:O,MATCH($B96,'ETAPA OBRA'!$B:$B,0))="x",'ETAPA OBRA'!O$1&amp;", ","")&amp;
IF(INDEX('ETAPA OBRA'!P:P,MATCH($B96,'ETAPA OBRA'!$B:$B,0))="x",'ETAPA OBRA'!P$1&amp;", ","")&amp;
IF(INDEX('ETAPA OBRA'!Q:Q,MATCH($B96,'ETAPA OBRA'!$B:$B,0))="x",'ETAPA OBRA'!Q$1&amp;", ","")&amp;
IF(INDEX('ETAPA OBRA'!R:R,MATCH($B96,'ETAPA OBRA'!$B:$B,0))="x",'ETAPA OBRA'!R$1&amp;", ","")&amp;
IF(INDEX('ETAPA OBRA'!S:S,MATCH($B96,'ETAPA OBRA'!$B:$B,0))="x",'ETAPA OBRA'!S$1&amp;", ","")&amp;
IF(INDEX('ETAPA OBRA'!T:T,MATCH($B96,'ETAPA OBRA'!$B:$B,0))="x",'ETAPA OBRA'!T$1&amp;", ","")&amp;
IF(INDEX('ETAPA OBRA'!U:U,MATCH($B96,'ETAPA OBRA'!$B:$B,0))="x",'ETAPA OBRA'!U$1&amp;", ",""),LEN(
IF(INDEX('ETAPA OBRA'!C:C,MATCH($B96,'ETAPA OBRA'!$B:$B,0))="x",'ETAPA OBRA'!C$1&amp;", ","")&amp;
IF(INDEX('ETAPA OBRA'!D:D,MATCH($B96,'ETAPA OBRA'!$B:$B,0))="x",'ETAPA OBRA'!D$1&amp;", ","")&amp;
IF(INDEX('ETAPA OBRA'!F:F,MATCH($B96,'ETAPA OBRA'!$B:$B,0))="x",'ETAPA OBRA'!F$1&amp;", ","")&amp;
IF(INDEX('ETAPA OBRA'!G:G,MATCH($B96,'ETAPA OBRA'!$B:$B,0))="x",'ETAPA OBRA'!G$1&amp;", ","")&amp;
IF(INDEX('ETAPA OBRA'!H:H,MATCH($B96,'ETAPA OBRA'!$B:$B,0))="x",'ETAPA OBRA'!H$1&amp;", ","")&amp;
IF(INDEX('ETAPA OBRA'!I:I,MATCH($B96,'ETAPA OBRA'!$B:$B,0))="x",'ETAPA OBRA'!I$1&amp;", ","")&amp;
IF(INDEX('ETAPA OBRA'!J:J,MATCH($B96,'ETAPA OBRA'!$B:$B,0))="x",'ETAPA OBRA'!J$1&amp;", ","")&amp;
IF(INDEX('ETAPA OBRA'!K:K,MATCH($B96,'ETAPA OBRA'!$B:$B,0))="x",'ETAPA OBRA'!K$1&amp;", ","")&amp;
IF(INDEX('ETAPA OBRA'!L:L,MATCH($B96,'ETAPA OBRA'!$B:$B,0))="x",'ETAPA OBRA'!L$1&amp;", ","")&amp;
IF(INDEX('ETAPA OBRA'!M:M,MATCH($B96,'ETAPA OBRA'!$B:$B,0))="x",'ETAPA OBRA'!M$1&amp;", ","")&amp;
IF(INDEX('ETAPA OBRA'!N:N,MATCH($B96,'ETAPA OBRA'!$B:$B,0))="x",'ETAPA OBRA'!N$1&amp;", ","")&amp;
IF(INDEX('ETAPA OBRA'!O:O,MATCH($B96,'ETAPA OBRA'!$B:$B,0))="x",'ETAPA OBRA'!O$1&amp;", ","")&amp;
IF(INDEX('ETAPA OBRA'!P:P,MATCH($B96,'ETAPA OBRA'!$B:$B,0))="x",'ETAPA OBRA'!P$1&amp;", ","")&amp;
IF(INDEX('ETAPA OBRA'!Q:Q,MATCH($B96,'ETAPA OBRA'!$B:$B,0))="x",'ETAPA OBRA'!Q$1&amp;", ","")&amp;
IF(INDEX('ETAPA OBRA'!R:R,MATCH($B96,'ETAPA OBRA'!$B:$B,0))="x",'ETAPA OBRA'!R$1&amp;", ","")&amp;
IF(INDEX('ETAPA OBRA'!S:S,MATCH($B96,'ETAPA OBRA'!$B:$B,0))="x",'ETAPA OBRA'!S$1&amp;", ","")&amp;
IF(INDEX('ETAPA OBRA'!T:T,MATCH($B96,'ETAPA OBRA'!$B:$B,0))="x",'ETAPA OBRA'!T$1&amp;", ","")&amp;
IF(INDEX('ETAPA OBRA'!U:U,MATCH($B96,'ETAPA OBRA'!$B:$B,0))="x",'ETAPA OBRA'!U$1&amp;", ","")
)-2),"")</f>
        <v>Finalizado</v>
      </c>
      <c r="N96" s="23" t="str">
        <f t="shared" si="9"/>
        <v>Finalizado</v>
      </c>
      <c r="O96" s="28">
        <v>30819</v>
      </c>
      <c r="P96" s="37">
        <f t="shared" si="10"/>
        <v>13247.74</v>
      </c>
      <c r="Q96" s="28">
        <f t="shared" si="11"/>
        <v>17571.260000000002</v>
      </c>
      <c r="R96" s="29">
        <f t="shared" si="12"/>
        <v>0.57014374249651201</v>
      </c>
      <c r="S96" s="23" t="str">
        <f t="shared" si="13"/>
        <v>✅ OK - Fechar Parceiro</v>
      </c>
      <c r="T96" s="23" t="str">
        <f>Cronograma[[#This Row],[STATUS]]</f>
        <v>✅ CONCLUÍDO</v>
      </c>
    </row>
    <row r="97" spans="1:20" ht="15" customHeight="1" x14ac:dyDescent="0.3">
      <c r="A97" s="23" t="s">
        <v>304</v>
      </c>
      <c r="B97" s="23" t="str">
        <f>IF(A97&lt;&gt;"","contel-"&amp;TEXT(COUNTA($A$2:A97),"00"),"")</f>
        <v>contel-96</v>
      </c>
      <c r="C97" s="23" t="s">
        <v>120</v>
      </c>
      <c r="D97" s="23" t="s">
        <v>305</v>
      </c>
      <c r="E97" s="23" t="s">
        <v>302</v>
      </c>
      <c r="F97" s="52" t="s">
        <v>306</v>
      </c>
      <c r="G97" s="23">
        <v>1763</v>
      </c>
      <c r="H97" s="30">
        <v>4020</v>
      </c>
      <c r="I97" s="23" t="s">
        <v>297</v>
      </c>
      <c r="J97" s="25">
        <f>SUM(EQUIPE!C97,EQUIPE!E97,EQUIPE!G97,EQUIPE!I97,EQUIPE!K97,EQUIPE!M97,EQUIPE!O97)</f>
        <v>2100</v>
      </c>
      <c r="K97" s="25">
        <v>3387.72</v>
      </c>
      <c r="L97" s="25">
        <v>1116.68</v>
      </c>
      <c r="M97" s="27" t="str">
        <f>IFERROR(LEFT(
IF(INDEX('ETAPA OBRA'!C:C,MATCH($B97,'ETAPA OBRA'!$B:$B,0))="x",'ETAPA OBRA'!C$1&amp;", ","")&amp;
IF(INDEX('ETAPA OBRA'!D:D,MATCH($B97,'ETAPA OBRA'!$B:$B,0))="x",'ETAPA OBRA'!D$1&amp;", ","")&amp;
IF(INDEX('ETAPA OBRA'!F:F,MATCH($B97,'ETAPA OBRA'!$B:$B,0))="x",'ETAPA OBRA'!F$1&amp;", ","")&amp;
IF(INDEX('ETAPA OBRA'!G:G,MATCH($B97,'ETAPA OBRA'!$B:$B,0))="x",'ETAPA OBRA'!G$1&amp;", ","")&amp;
IF(INDEX('ETAPA OBRA'!H:H,MATCH($B97,'ETAPA OBRA'!$B:$B,0))="x",'ETAPA OBRA'!H$1&amp;", ","")&amp;
IF(INDEX('ETAPA OBRA'!I:I,MATCH($B97,'ETAPA OBRA'!$B:$B,0))="x",'ETAPA OBRA'!I$1&amp;", ","")&amp;
IF(INDEX('ETAPA OBRA'!J:J,MATCH($B97,'ETAPA OBRA'!$B:$B,0))="x",'ETAPA OBRA'!J$1&amp;", ","")&amp;
IF(INDEX('ETAPA OBRA'!K:K,MATCH($B97,'ETAPA OBRA'!$B:$B,0))="x",'ETAPA OBRA'!K$1&amp;", ","")&amp;
IF(INDEX('ETAPA OBRA'!L:L,MATCH($B97,'ETAPA OBRA'!$B:$B,0))="x",'ETAPA OBRA'!L$1&amp;", ","")&amp;
IF(INDEX('ETAPA OBRA'!M:M,MATCH($B97,'ETAPA OBRA'!$B:$B,0))="x",'ETAPA OBRA'!M$1&amp;", ","")&amp;
IF(INDEX('ETAPA OBRA'!N:N,MATCH($B97,'ETAPA OBRA'!$B:$B,0))="x",'ETAPA OBRA'!N$1&amp;", ","")&amp;
IF(INDEX('ETAPA OBRA'!O:O,MATCH($B97,'ETAPA OBRA'!$B:$B,0))="x",'ETAPA OBRA'!O$1&amp;", ","")&amp;
IF(INDEX('ETAPA OBRA'!P:P,MATCH($B97,'ETAPA OBRA'!$B:$B,0))="x",'ETAPA OBRA'!P$1&amp;", ","")&amp;
IF(INDEX('ETAPA OBRA'!Q:Q,MATCH($B97,'ETAPA OBRA'!$B:$B,0))="x",'ETAPA OBRA'!Q$1&amp;", ","")&amp;
IF(INDEX('ETAPA OBRA'!R:R,MATCH($B97,'ETAPA OBRA'!$B:$B,0))="x",'ETAPA OBRA'!R$1&amp;", ","")&amp;
IF(INDEX('ETAPA OBRA'!S:S,MATCH($B97,'ETAPA OBRA'!$B:$B,0))="x",'ETAPA OBRA'!S$1&amp;", ","")&amp;
IF(INDEX('ETAPA OBRA'!T:T,MATCH($B97,'ETAPA OBRA'!$B:$B,0))="x",'ETAPA OBRA'!T$1&amp;", ","")&amp;
IF(INDEX('ETAPA OBRA'!U:U,MATCH($B97,'ETAPA OBRA'!$B:$B,0))="x",'ETAPA OBRA'!U$1&amp;", ",""),LEN(
IF(INDEX('ETAPA OBRA'!C:C,MATCH($B97,'ETAPA OBRA'!$B:$B,0))="x",'ETAPA OBRA'!C$1&amp;", ","")&amp;
IF(INDEX('ETAPA OBRA'!D:D,MATCH($B97,'ETAPA OBRA'!$B:$B,0))="x",'ETAPA OBRA'!D$1&amp;", ","")&amp;
IF(INDEX('ETAPA OBRA'!F:F,MATCH($B97,'ETAPA OBRA'!$B:$B,0))="x",'ETAPA OBRA'!F$1&amp;", ","")&amp;
IF(INDEX('ETAPA OBRA'!G:G,MATCH($B97,'ETAPA OBRA'!$B:$B,0))="x",'ETAPA OBRA'!G$1&amp;", ","")&amp;
IF(INDEX('ETAPA OBRA'!H:H,MATCH($B97,'ETAPA OBRA'!$B:$B,0))="x",'ETAPA OBRA'!H$1&amp;", ","")&amp;
IF(INDEX('ETAPA OBRA'!I:I,MATCH($B97,'ETAPA OBRA'!$B:$B,0))="x",'ETAPA OBRA'!I$1&amp;", ","")&amp;
IF(INDEX('ETAPA OBRA'!J:J,MATCH($B97,'ETAPA OBRA'!$B:$B,0))="x",'ETAPA OBRA'!J$1&amp;", ","")&amp;
IF(INDEX('ETAPA OBRA'!K:K,MATCH($B97,'ETAPA OBRA'!$B:$B,0))="x",'ETAPA OBRA'!K$1&amp;", ","")&amp;
IF(INDEX('ETAPA OBRA'!L:L,MATCH($B97,'ETAPA OBRA'!$B:$B,0))="x",'ETAPA OBRA'!L$1&amp;", ","")&amp;
IF(INDEX('ETAPA OBRA'!M:M,MATCH($B97,'ETAPA OBRA'!$B:$B,0))="x",'ETAPA OBRA'!M$1&amp;", ","")&amp;
IF(INDEX('ETAPA OBRA'!N:N,MATCH($B97,'ETAPA OBRA'!$B:$B,0))="x",'ETAPA OBRA'!N$1&amp;", ","")&amp;
IF(INDEX('ETAPA OBRA'!O:O,MATCH($B97,'ETAPA OBRA'!$B:$B,0))="x",'ETAPA OBRA'!O$1&amp;", ","")&amp;
IF(INDEX('ETAPA OBRA'!P:P,MATCH($B97,'ETAPA OBRA'!$B:$B,0))="x",'ETAPA OBRA'!P$1&amp;", ","")&amp;
IF(INDEX('ETAPA OBRA'!Q:Q,MATCH($B97,'ETAPA OBRA'!$B:$B,0))="x",'ETAPA OBRA'!Q$1&amp;", ","")&amp;
IF(INDEX('ETAPA OBRA'!R:R,MATCH($B97,'ETAPA OBRA'!$B:$B,0))="x",'ETAPA OBRA'!R$1&amp;", ","")&amp;
IF(INDEX('ETAPA OBRA'!S:S,MATCH($B97,'ETAPA OBRA'!$B:$B,0))="x",'ETAPA OBRA'!S$1&amp;", ","")&amp;
IF(INDEX('ETAPA OBRA'!T:T,MATCH($B97,'ETAPA OBRA'!$B:$B,0))="x",'ETAPA OBRA'!T$1&amp;", ","")&amp;
IF(INDEX('ETAPA OBRA'!U:U,MATCH($B97,'ETAPA OBRA'!$B:$B,0))="x",'ETAPA OBRA'!U$1&amp;", ","")
)-2),"")</f>
        <v>Finalizado</v>
      </c>
      <c r="N97" s="23" t="str">
        <f t="shared" si="9"/>
        <v>Finalizado</v>
      </c>
      <c r="O97" s="28">
        <v>11029.54</v>
      </c>
      <c r="P97" s="37">
        <f t="shared" si="10"/>
        <v>6604.4</v>
      </c>
      <c r="Q97" s="28">
        <f t="shared" si="11"/>
        <v>4425.1400000000012</v>
      </c>
      <c r="R97" s="29">
        <f t="shared" si="12"/>
        <v>0.40120802862132066</v>
      </c>
      <c r="S97" s="23" t="str">
        <f t="shared" si="13"/>
        <v>✅ OK - Fechar Parceiro</v>
      </c>
      <c r="T97" s="23" t="str">
        <f>Cronograma[[#This Row],[STATUS]]</f>
        <v>✅ CONCLUÍDO</v>
      </c>
    </row>
    <row r="98" spans="1:20" ht="15" customHeight="1" x14ac:dyDescent="0.3">
      <c r="A98" s="23" t="s">
        <v>307</v>
      </c>
      <c r="B98" s="23" t="str">
        <f>IF(A98&lt;&gt;"","contel-"&amp;TEXT(COUNTA($A$2:A98),"00"),"")</f>
        <v>contel-97</v>
      </c>
      <c r="C98" s="23" t="s">
        <v>120</v>
      </c>
      <c r="D98" s="23" t="s">
        <v>308</v>
      </c>
      <c r="E98" s="23" t="s">
        <v>309</v>
      </c>
      <c r="F98" s="52" t="s">
        <v>310</v>
      </c>
      <c r="G98" s="23">
        <v>1849</v>
      </c>
      <c r="H98" s="30">
        <v>3783</v>
      </c>
      <c r="I98" s="23" t="s">
        <v>25</v>
      </c>
      <c r="J98" s="25">
        <f>SUM(EQUIPE!C98,EQUIPE!E98,EQUIPE!G98,EQUIPE!I98,EQUIPE!K98,EQUIPE!M98,EQUIPE!O98)</f>
        <v>22878.3</v>
      </c>
      <c r="K98" s="25">
        <v>13525.22</v>
      </c>
      <c r="L98" s="25">
        <v>0</v>
      </c>
      <c r="M98" s="27" t="str">
        <f ca="1">IFERROR(LEFT(
IF(INDEX('ETAPA OBRA'!C:C,MATCH($B98,'ETAPA OBRA'!$B:$B,0))="x",'ETAPA OBRA'!C$1&amp;", ","")&amp;
IF(INDEX('ETAPA OBRA'!D:D,MATCH($B98,'ETAPA OBRA'!$B:$B,0))="x",'ETAPA OBRA'!D$1&amp;", ","")&amp;
IF(INDEX('ETAPA OBRA'!F:F,MATCH($B98,'ETAPA OBRA'!$B:$B,0))="x",'ETAPA OBRA'!F$1&amp;", ","")&amp;
IF(INDEX('ETAPA OBRA'!G:G,MATCH($B98,'ETAPA OBRA'!$B:$B,0))="x",'ETAPA OBRA'!G$1&amp;", ","")&amp;
IF(INDEX('ETAPA OBRA'!H:H,MATCH($B98,'ETAPA OBRA'!$B:$B,0))="x",'ETAPA OBRA'!H$1&amp;", ","")&amp;
IF(INDEX('ETAPA OBRA'!I:I,MATCH($B98,'ETAPA OBRA'!$B:$B,0))="x",'ETAPA OBRA'!I$1&amp;", ","")&amp;
IF(INDEX('ETAPA OBRA'!J:J,MATCH($B98,'ETAPA OBRA'!$B:$B,0))="x",'ETAPA OBRA'!J$1&amp;", ","")&amp;
IF(INDEX('ETAPA OBRA'!K:K,MATCH($B98,'ETAPA OBRA'!$B:$B,0))="x",'ETAPA OBRA'!K$1&amp;", ","")&amp;
IF(INDEX('ETAPA OBRA'!L:L,MATCH($B98,'ETAPA OBRA'!$B:$B,0))="x",'ETAPA OBRA'!L$1&amp;", ","")&amp;
IF(INDEX('ETAPA OBRA'!M:M,MATCH($B98,'ETAPA OBRA'!$B:$B,0))="x",'ETAPA OBRA'!M$1&amp;", ","")&amp;
IF(INDEX('ETAPA OBRA'!N:N,MATCH($B98,'ETAPA OBRA'!$B:$B,0))="x",'ETAPA OBRA'!N$1&amp;", ","")&amp;
IF(INDEX('ETAPA OBRA'!O:O,MATCH($B98,'ETAPA OBRA'!$B:$B,0))="x",'ETAPA OBRA'!O$1&amp;", ","")&amp;
IF(INDEX('ETAPA OBRA'!P:P,MATCH($B98,'ETAPA OBRA'!$B:$B,0))="x",'ETAPA OBRA'!P$1&amp;", ","")&amp;
IF(INDEX('ETAPA OBRA'!Q:Q,MATCH($B98,'ETAPA OBRA'!$B:$B,0))="x",'ETAPA OBRA'!Q$1&amp;", ","")&amp;
IF(INDEX('ETAPA OBRA'!R:R,MATCH($B98,'ETAPA OBRA'!$B:$B,0))="x",'ETAPA OBRA'!R$1&amp;", ","")&amp;
IF(INDEX('ETAPA OBRA'!S:S,MATCH($B98,'ETAPA OBRA'!$B:$B,0))="x",'ETAPA OBRA'!S$1&amp;", ","")&amp;
IF(INDEX('ETAPA OBRA'!T:T,MATCH($B98,'ETAPA OBRA'!$B:$B,0))="x",'ETAPA OBRA'!T$1&amp;", ","")&amp;
IF(INDEX('ETAPA OBRA'!U:U,MATCH($B98,'ETAPA OBRA'!$B:$B,0))="x",'ETAPA OBRA'!U$1&amp;", ",""),LEN(
IF(INDEX('ETAPA OBRA'!C:C,MATCH($B98,'ETAPA OBRA'!$B:$B,0))="x",'ETAPA OBRA'!C$1&amp;", ","")&amp;
IF(INDEX('ETAPA OBRA'!D:D,MATCH($B98,'ETAPA OBRA'!$B:$B,0))="x",'ETAPA OBRA'!D$1&amp;", ","")&amp;
IF(INDEX('ETAPA OBRA'!F:F,MATCH($B98,'ETAPA OBRA'!$B:$B,0))="x",'ETAPA OBRA'!F$1&amp;", ","")&amp;
IF(INDEX('ETAPA OBRA'!G:G,MATCH($B98,'ETAPA OBRA'!$B:$B,0))="x",'ETAPA OBRA'!G$1&amp;", ","")&amp;
IF(INDEX('ETAPA OBRA'!H:H,MATCH($B98,'ETAPA OBRA'!$B:$B,0))="x",'ETAPA OBRA'!H$1&amp;", ","")&amp;
IF(INDEX('ETAPA OBRA'!I:I,MATCH($B98,'ETAPA OBRA'!$B:$B,0))="x",'ETAPA OBRA'!I$1&amp;", ","")&amp;
IF(INDEX('ETAPA OBRA'!J:J,MATCH($B98,'ETAPA OBRA'!$B:$B,0))="x",'ETAPA OBRA'!J$1&amp;", ","")&amp;
IF(INDEX('ETAPA OBRA'!K:K,MATCH($B98,'ETAPA OBRA'!$B:$B,0))="x",'ETAPA OBRA'!K$1&amp;", ","")&amp;
IF(INDEX('ETAPA OBRA'!L:L,MATCH($B98,'ETAPA OBRA'!$B:$B,0))="x",'ETAPA OBRA'!L$1&amp;", ","")&amp;
IF(INDEX('ETAPA OBRA'!M:M,MATCH($B98,'ETAPA OBRA'!$B:$B,0))="x",'ETAPA OBRA'!M$1&amp;", ","")&amp;
IF(INDEX('ETAPA OBRA'!N:N,MATCH($B98,'ETAPA OBRA'!$B:$B,0))="x",'ETAPA OBRA'!N$1&amp;", ","")&amp;
IF(INDEX('ETAPA OBRA'!O:O,MATCH($B98,'ETAPA OBRA'!$B:$B,0))="x",'ETAPA OBRA'!O$1&amp;", ","")&amp;
IF(INDEX('ETAPA OBRA'!P:P,MATCH($B98,'ETAPA OBRA'!$B:$B,0))="x",'ETAPA OBRA'!P$1&amp;", ","")&amp;
IF(INDEX('ETAPA OBRA'!Q:Q,MATCH($B98,'ETAPA OBRA'!$B:$B,0))="x",'ETAPA OBRA'!Q$1&amp;", ","")&amp;
IF(INDEX('ETAPA OBRA'!R:R,MATCH($B98,'ETAPA OBRA'!$B:$B,0))="x",'ETAPA OBRA'!R$1&amp;", ","")&amp;
IF(INDEX('ETAPA OBRA'!S:S,MATCH($B98,'ETAPA OBRA'!$B:$B,0))="x",'ETAPA OBRA'!S$1&amp;", ","")&amp;
IF(INDEX('ETAPA OBRA'!T:T,MATCH($B98,'ETAPA OBRA'!$B:$B,0))="x",'ETAPA OBRA'!T$1&amp;", ","")&amp;
IF(INDEX('ETAPA OBRA'!U:U,MATCH($B98,'ETAPA OBRA'!$B:$B,0))="x",'ETAPA OBRA'!U$1&amp;", ","")
)-2),"")</f>
        <v>Fabricação / Galvanização, Envio de material, Execução</v>
      </c>
      <c r="N98" s="23" t="str">
        <f t="shared" ref="N98:N129" ca="1" si="14">IF(M98="","Não iniciada",
IF(ISNUMBER(FIND("Cancelada",M98)),"Cancelada",
IF(ISNUMBER(FIND("Paralisada",M98)),"Paralisada",
IF(ISNUMBER(FIND("Finalizado",M98)),"Finalizado",
"Em andamento"))))</f>
        <v>Em andamento</v>
      </c>
      <c r="O98" s="28">
        <v>92771.88</v>
      </c>
      <c r="P98" s="37">
        <f t="shared" si="10"/>
        <v>36403.519999999997</v>
      </c>
      <c r="Q98" s="28">
        <f t="shared" ref="Q98:Q129" si="15">O98-P98</f>
        <v>56368.360000000008</v>
      </c>
      <c r="R98" s="29">
        <f t="shared" ref="R98:R129" si="16">IF(O98=0,0,Q98/O98)</f>
        <v>0.60760178623091399</v>
      </c>
      <c r="S98" s="23" t="str">
        <f t="shared" ref="S98:S129" si="17">IF(R98&gt;=0.2,"✅ OK - Fechar Parceiro","⚠️ Ajustar Custos (&lt;20%)")</f>
        <v>✅ OK - Fechar Parceiro</v>
      </c>
      <c r="T98" s="23" t="str">
        <f ca="1">Cronograma[[#This Row],[STATUS]]</f>
        <v>🕓 EM ANDAMENTO</v>
      </c>
    </row>
    <row r="99" spans="1:20" ht="15" customHeight="1" x14ac:dyDescent="0.3">
      <c r="A99" s="23" t="s">
        <v>311</v>
      </c>
      <c r="B99" s="23" t="str">
        <f>IF(A99&lt;&gt;"","contel-"&amp;TEXT(COUNTA($A$2:A99),"00"),"")</f>
        <v>contel-98</v>
      </c>
      <c r="C99" s="23" t="s">
        <v>120</v>
      </c>
      <c r="D99" s="23" t="s">
        <v>312</v>
      </c>
      <c r="E99" s="23" t="s">
        <v>32</v>
      </c>
      <c r="F99" s="52" t="s">
        <v>313</v>
      </c>
      <c r="G99" s="23">
        <v>1768</v>
      </c>
      <c r="H99" s="30">
        <v>3968</v>
      </c>
      <c r="I99" s="23" t="s">
        <v>297</v>
      </c>
      <c r="J99" s="25">
        <f>SUM(EQUIPE!C99,EQUIPE!E99,EQUIPE!G99,EQUIPE!I99,EQUIPE!K99,EQUIPE!M99,EQUIPE!O99)</f>
        <v>11500</v>
      </c>
      <c r="K99" s="25">
        <v>0</v>
      </c>
      <c r="L99" s="25">
        <v>0</v>
      </c>
      <c r="M99" s="27" t="str">
        <f ca="1">IFERROR(LEFT(
IF(INDEX('ETAPA OBRA'!C:C,MATCH($B99,'ETAPA OBRA'!$B:$B,0))="x",'ETAPA OBRA'!C$1&amp;", ","")&amp;
IF(INDEX('ETAPA OBRA'!D:D,MATCH($B99,'ETAPA OBRA'!$B:$B,0))="x",'ETAPA OBRA'!D$1&amp;", ","")&amp;
IF(INDEX('ETAPA OBRA'!F:F,MATCH($B99,'ETAPA OBRA'!$B:$B,0))="x",'ETAPA OBRA'!F$1&amp;", ","")&amp;
IF(INDEX('ETAPA OBRA'!G:G,MATCH($B99,'ETAPA OBRA'!$B:$B,0))="x",'ETAPA OBRA'!G$1&amp;", ","")&amp;
IF(INDEX('ETAPA OBRA'!H:H,MATCH($B99,'ETAPA OBRA'!$B:$B,0))="x",'ETAPA OBRA'!H$1&amp;", ","")&amp;
IF(INDEX('ETAPA OBRA'!I:I,MATCH($B99,'ETAPA OBRA'!$B:$B,0))="x",'ETAPA OBRA'!I$1&amp;", ","")&amp;
IF(INDEX('ETAPA OBRA'!J:J,MATCH($B99,'ETAPA OBRA'!$B:$B,0))="x",'ETAPA OBRA'!J$1&amp;", ","")&amp;
IF(INDEX('ETAPA OBRA'!K:K,MATCH($B99,'ETAPA OBRA'!$B:$B,0))="x",'ETAPA OBRA'!K$1&amp;", ","")&amp;
IF(INDEX('ETAPA OBRA'!L:L,MATCH($B99,'ETAPA OBRA'!$B:$B,0))="x",'ETAPA OBRA'!L$1&amp;", ","")&amp;
IF(INDEX('ETAPA OBRA'!M:M,MATCH($B99,'ETAPA OBRA'!$B:$B,0))="x",'ETAPA OBRA'!M$1&amp;", ","")&amp;
IF(INDEX('ETAPA OBRA'!N:N,MATCH($B99,'ETAPA OBRA'!$B:$B,0))="x",'ETAPA OBRA'!N$1&amp;", ","")&amp;
IF(INDEX('ETAPA OBRA'!O:O,MATCH($B99,'ETAPA OBRA'!$B:$B,0))="x",'ETAPA OBRA'!O$1&amp;", ","")&amp;
IF(INDEX('ETAPA OBRA'!P:P,MATCH($B99,'ETAPA OBRA'!$B:$B,0))="x",'ETAPA OBRA'!P$1&amp;", ","")&amp;
IF(INDEX('ETAPA OBRA'!Q:Q,MATCH($B99,'ETAPA OBRA'!$B:$B,0))="x",'ETAPA OBRA'!Q$1&amp;", ","")&amp;
IF(INDEX('ETAPA OBRA'!R:R,MATCH($B99,'ETAPA OBRA'!$B:$B,0))="x",'ETAPA OBRA'!R$1&amp;", ","")&amp;
IF(INDEX('ETAPA OBRA'!S:S,MATCH($B99,'ETAPA OBRA'!$B:$B,0))="x",'ETAPA OBRA'!S$1&amp;", ","")&amp;
IF(INDEX('ETAPA OBRA'!T:T,MATCH($B99,'ETAPA OBRA'!$B:$B,0))="x",'ETAPA OBRA'!T$1&amp;", ","")&amp;
IF(INDEX('ETAPA OBRA'!U:U,MATCH($B99,'ETAPA OBRA'!$B:$B,0))="x",'ETAPA OBRA'!U$1&amp;", ",""),LEN(
IF(INDEX('ETAPA OBRA'!C:C,MATCH($B99,'ETAPA OBRA'!$B:$B,0))="x",'ETAPA OBRA'!C$1&amp;", ","")&amp;
IF(INDEX('ETAPA OBRA'!D:D,MATCH($B99,'ETAPA OBRA'!$B:$B,0))="x",'ETAPA OBRA'!D$1&amp;", ","")&amp;
IF(INDEX('ETAPA OBRA'!F:F,MATCH($B99,'ETAPA OBRA'!$B:$B,0))="x",'ETAPA OBRA'!F$1&amp;", ","")&amp;
IF(INDEX('ETAPA OBRA'!G:G,MATCH($B99,'ETAPA OBRA'!$B:$B,0))="x",'ETAPA OBRA'!G$1&amp;", ","")&amp;
IF(INDEX('ETAPA OBRA'!H:H,MATCH($B99,'ETAPA OBRA'!$B:$B,0))="x",'ETAPA OBRA'!H$1&amp;", ","")&amp;
IF(INDEX('ETAPA OBRA'!I:I,MATCH($B99,'ETAPA OBRA'!$B:$B,0))="x",'ETAPA OBRA'!I$1&amp;", ","")&amp;
IF(INDEX('ETAPA OBRA'!J:J,MATCH($B99,'ETAPA OBRA'!$B:$B,0))="x",'ETAPA OBRA'!J$1&amp;", ","")&amp;
IF(INDEX('ETAPA OBRA'!K:K,MATCH($B99,'ETAPA OBRA'!$B:$B,0))="x",'ETAPA OBRA'!K$1&amp;", ","")&amp;
IF(INDEX('ETAPA OBRA'!L:L,MATCH($B99,'ETAPA OBRA'!$B:$B,0))="x",'ETAPA OBRA'!L$1&amp;", ","")&amp;
IF(INDEX('ETAPA OBRA'!M:M,MATCH($B99,'ETAPA OBRA'!$B:$B,0))="x",'ETAPA OBRA'!M$1&amp;", ","")&amp;
IF(INDEX('ETAPA OBRA'!N:N,MATCH($B99,'ETAPA OBRA'!$B:$B,0))="x",'ETAPA OBRA'!N$1&amp;", ","")&amp;
IF(INDEX('ETAPA OBRA'!O:O,MATCH($B99,'ETAPA OBRA'!$B:$B,0))="x",'ETAPA OBRA'!O$1&amp;", ","")&amp;
IF(INDEX('ETAPA OBRA'!P:P,MATCH($B99,'ETAPA OBRA'!$B:$B,0))="x",'ETAPA OBRA'!P$1&amp;", ","")&amp;
IF(INDEX('ETAPA OBRA'!Q:Q,MATCH($B99,'ETAPA OBRA'!$B:$B,0))="x",'ETAPA OBRA'!Q$1&amp;", ","")&amp;
IF(INDEX('ETAPA OBRA'!R:R,MATCH($B99,'ETAPA OBRA'!$B:$B,0))="x",'ETAPA OBRA'!R$1&amp;", ","")&amp;
IF(INDEX('ETAPA OBRA'!S:S,MATCH($B99,'ETAPA OBRA'!$B:$B,0))="x",'ETAPA OBRA'!S$1&amp;", ","")&amp;
IF(INDEX('ETAPA OBRA'!T:T,MATCH($B99,'ETAPA OBRA'!$B:$B,0))="x",'ETAPA OBRA'!T$1&amp;", ","")&amp;
IF(INDEX('ETAPA OBRA'!U:U,MATCH($B99,'ETAPA OBRA'!$B:$B,0))="x",'ETAPA OBRA'!U$1&amp;", ","")
)-2),"")</f>
        <v>Compra de material, Fabricação / Galvanização</v>
      </c>
      <c r="N99" s="23" t="str">
        <f t="shared" ca="1" si="14"/>
        <v>Em andamento</v>
      </c>
      <c r="O99" s="28">
        <v>69869.72</v>
      </c>
      <c r="P99" s="37">
        <f t="shared" si="10"/>
        <v>11500</v>
      </c>
      <c r="Q99" s="28">
        <f t="shared" si="15"/>
        <v>58369.72</v>
      </c>
      <c r="R99" s="29">
        <f t="shared" si="16"/>
        <v>0.83540795640801191</v>
      </c>
      <c r="S99" s="23" t="str">
        <f t="shared" si="17"/>
        <v>✅ OK - Fechar Parceiro</v>
      </c>
      <c r="T99" s="23" t="str">
        <f ca="1">Cronograma[[#This Row],[STATUS]]</f>
        <v>🕓 EM ANDAMENTO</v>
      </c>
    </row>
    <row r="100" spans="1:20" ht="15" customHeight="1" x14ac:dyDescent="0.3">
      <c r="A100" s="23" t="s">
        <v>314</v>
      </c>
      <c r="B100" s="23" t="str">
        <f>IF(A100&lt;&gt;"","contel-"&amp;TEXT(COUNTA($A$2:A100),"00"),"")</f>
        <v>contel-99</v>
      </c>
      <c r="C100" s="23" t="s">
        <v>120</v>
      </c>
      <c r="D100" s="23" t="s">
        <v>315</v>
      </c>
      <c r="E100" s="23" t="s">
        <v>309</v>
      </c>
      <c r="F100" s="52" t="s">
        <v>316</v>
      </c>
      <c r="G100" s="23">
        <v>1716</v>
      </c>
      <c r="H100" s="30">
        <v>3036</v>
      </c>
      <c r="I100" s="23" t="s">
        <v>25</v>
      </c>
      <c r="J100" s="25">
        <f>SUM(EQUIPE!C100,EQUIPE!E100,EQUIPE!G100,EQUIPE!I100,EQUIPE!K100,EQUIPE!M100,EQUIPE!O100)</f>
        <v>14600</v>
      </c>
      <c r="K100" s="25">
        <v>6860.08</v>
      </c>
      <c r="L100" s="25">
        <v>0</v>
      </c>
      <c r="M100" s="27" t="str">
        <f ca="1">IFERROR(LEFT(
IF(INDEX('ETAPA OBRA'!C:C,MATCH($B100,'ETAPA OBRA'!$B:$B,0))="x",'ETAPA OBRA'!C$1&amp;", ","")&amp;
IF(INDEX('ETAPA OBRA'!D:D,MATCH($B100,'ETAPA OBRA'!$B:$B,0))="x",'ETAPA OBRA'!D$1&amp;", ","")&amp;
IF(INDEX('ETAPA OBRA'!F:F,MATCH($B100,'ETAPA OBRA'!$B:$B,0))="x",'ETAPA OBRA'!F$1&amp;", ","")&amp;
IF(INDEX('ETAPA OBRA'!G:G,MATCH($B100,'ETAPA OBRA'!$B:$B,0))="x",'ETAPA OBRA'!G$1&amp;", ","")&amp;
IF(INDEX('ETAPA OBRA'!H:H,MATCH($B100,'ETAPA OBRA'!$B:$B,0))="x",'ETAPA OBRA'!H$1&amp;", ","")&amp;
IF(INDEX('ETAPA OBRA'!I:I,MATCH($B100,'ETAPA OBRA'!$B:$B,0))="x",'ETAPA OBRA'!I$1&amp;", ","")&amp;
IF(INDEX('ETAPA OBRA'!J:J,MATCH($B100,'ETAPA OBRA'!$B:$B,0))="x",'ETAPA OBRA'!J$1&amp;", ","")&amp;
IF(INDEX('ETAPA OBRA'!K:K,MATCH($B100,'ETAPA OBRA'!$B:$B,0))="x",'ETAPA OBRA'!K$1&amp;", ","")&amp;
IF(INDEX('ETAPA OBRA'!L:L,MATCH($B100,'ETAPA OBRA'!$B:$B,0))="x",'ETAPA OBRA'!L$1&amp;", ","")&amp;
IF(INDEX('ETAPA OBRA'!M:M,MATCH($B100,'ETAPA OBRA'!$B:$B,0))="x",'ETAPA OBRA'!M$1&amp;", ","")&amp;
IF(INDEX('ETAPA OBRA'!N:N,MATCH($B100,'ETAPA OBRA'!$B:$B,0))="x",'ETAPA OBRA'!N$1&amp;", ","")&amp;
IF(INDEX('ETAPA OBRA'!O:O,MATCH($B100,'ETAPA OBRA'!$B:$B,0))="x",'ETAPA OBRA'!O$1&amp;", ","")&amp;
IF(INDEX('ETAPA OBRA'!P:P,MATCH($B100,'ETAPA OBRA'!$B:$B,0))="x",'ETAPA OBRA'!P$1&amp;", ","")&amp;
IF(INDEX('ETAPA OBRA'!Q:Q,MATCH($B100,'ETAPA OBRA'!$B:$B,0))="x",'ETAPA OBRA'!Q$1&amp;", ","")&amp;
IF(INDEX('ETAPA OBRA'!R:R,MATCH($B100,'ETAPA OBRA'!$B:$B,0))="x",'ETAPA OBRA'!R$1&amp;", ","")&amp;
IF(INDEX('ETAPA OBRA'!S:S,MATCH($B100,'ETAPA OBRA'!$B:$B,0))="x",'ETAPA OBRA'!S$1&amp;", ","")&amp;
IF(INDEX('ETAPA OBRA'!T:T,MATCH($B100,'ETAPA OBRA'!$B:$B,0))="x",'ETAPA OBRA'!T$1&amp;", ","")&amp;
IF(INDEX('ETAPA OBRA'!U:U,MATCH($B100,'ETAPA OBRA'!$B:$B,0))="x",'ETAPA OBRA'!U$1&amp;", ",""),LEN(
IF(INDEX('ETAPA OBRA'!C:C,MATCH($B100,'ETAPA OBRA'!$B:$B,0))="x",'ETAPA OBRA'!C$1&amp;", ","")&amp;
IF(INDEX('ETAPA OBRA'!D:D,MATCH($B100,'ETAPA OBRA'!$B:$B,0))="x",'ETAPA OBRA'!D$1&amp;", ","")&amp;
IF(INDEX('ETAPA OBRA'!F:F,MATCH($B100,'ETAPA OBRA'!$B:$B,0))="x",'ETAPA OBRA'!F$1&amp;", ","")&amp;
IF(INDEX('ETAPA OBRA'!G:G,MATCH($B100,'ETAPA OBRA'!$B:$B,0))="x",'ETAPA OBRA'!G$1&amp;", ","")&amp;
IF(INDEX('ETAPA OBRA'!H:H,MATCH($B100,'ETAPA OBRA'!$B:$B,0))="x",'ETAPA OBRA'!H$1&amp;", ","")&amp;
IF(INDEX('ETAPA OBRA'!I:I,MATCH($B100,'ETAPA OBRA'!$B:$B,0))="x",'ETAPA OBRA'!I$1&amp;", ","")&amp;
IF(INDEX('ETAPA OBRA'!J:J,MATCH($B100,'ETAPA OBRA'!$B:$B,0))="x",'ETAPA OBRA'!J$1&amp;", ","")&amp;
IF(INDEX('ETAPA OBRA'!K:K,MATCH($B100,'ETAPA OBRA'!$B:$B,0))="x",'ETAPA OBRA'!K$1&amp;", ","")&amp;
IF(INDEX('ETAPA OBRA'!L:L,MATCH($B100,'ETAPA OBRA'!$B:$B,0))="x",'ETAPA OBRA'!L$1&amp;", ","")&amp;
IF(INDEX('ETAPA OBRA'!M:M,MATCH($B100,'ETAPA OBRA'!$B:$B,0))="x",'ETAPA OBRA'!M$1&amp;", ","")&amp;
IF(INDEX('ETAPA OBRA'!N:N,MATCH($B100,'ETAPA OBRA'!$B:$B,0))="x",'ETAPA OBRA'!N$1&amp;", ","")&amp;
IF(INDEX('ETAPA OBRA'!O:O,MATCH($B100,'ETAPA OBRA'!$B:$B,0))="x",'ETAPA OBRA'!O$1&amp;", ","")&amp;
IF(INDEX('ETAPA OBRA'!P:P,MATCH($B100,'ETAPA OBRA'!$B:$B,0))="x",'ETAPA OBRA'!P$1&amp;", ","")&amp;
IF(INDEX('ETAPA OBRA'!Q:Q,MATCH($B100,'ETAPA OBRA'!$B:$B,0))="x",'ETAPA OBRA'!Q$1&amp;", ","")&amp;
IF(INDEX('ETAPA OBRA'!R:R,MATCH($B100,'ETAPA OBRA'!$B:$B,0))="x",'ETAPA OBRA'!R$1&amp;", ","")&amp;
IF(INDEX('ETAPA OBRA'!S:S,MATCH($B100,'ETAPA OBRA'!$B:$B,0))="x",'ETAPA OBRA'!S$1&amp;", ","")&amp;
IF(INDEX('ETAPA OBRA'!T:T,MATCH($B100,'ETAPA OBRA'!$B:$B,0))="x",'ETAPA OBRA'!T$1&amp;", ","")&amp;
IF(INDEX('ETAPA OBRA'!U:U,MATCH($B100,'ETAPA OBRA'!$B:$B,0))="x",'ETAPA OBRA'!U$1&amp;", ","")
)-2),"")</f>
        <v>Execução</v>
      </c>
      <c r="N100" s="23" t="str">
        <f t="shared" ca="1" si="14"/>
        <v>Em andamento</v>
      </c>
      <c r="O100" s="28">
        <v>42740.86</v>
      </c>
      <c r="P100" s="37">
        <f t="shared" si="10"/>
        <v>21460.080000000002</v>
      </c>
      <c r="Q100" s="28">
        <f t="shared" si="15"/>
        <v>21280.78</v>
      </c>
      <c r="R100" s="29">
        <f t="shared" si="16"/>
        <v>0.49790247552342182</v>
      </c>
      <c r="S100" s="23" t="str">
        <f t="shared" si="17"/>
        <v>✅ OK - Fechar Parceiro</v>
      </c>
      <c r="T100" s="23" t="str">
        <f ca="1">Cronograma[[#This Row],[STATUS]]</f>
        <v>🕓 EM ANDAMENTO</v>
      </c>
    </row>
    <row r="101" spans="1:20" ht="15" customHeight="1" x14ac:dyDescent="0.3">
      <c r="A101" s="23" t="s">
        <v>317</v>
      </c>
      <c r="B101" s="23" t="str">
        <f>IF(A101&lt;&gt;"","contel-"&amp;TEXT(COUNTA($A$2:A101),"00"),"")</f>
        <v>contel-100</v>
      </c>
      <c r="C101" s="23" t="s">
        <v>21</v>
      </c>
      <c r="D101" s="23" t="s">
        <v>315</v>
      </c>
      <c r="E101" s="23" t="s">
        <v>309</v>
      </c>
      <c r="F101" s="52" t="s">
        <v>318</v>
      </c>
      <c r="G101" s="23">
        <v>1668</v>
      </c>
      <c r="H101" s="30">
        <v>4035</v>
      </c>
      <c r="I101" s="23" t="s">
        <v>63</v>
      </c>
      <c r="J101" s="25">
        <f>SUM(EQUIPE!C101,EQUIPE!E101,EQUIPE!G101,EQUIPE!I101,EQUIPE!K101,EQUIPE!M101,EQUIPE!O101)</f>
        <v>9500</v>
      </c>
      <c r="K101" s="25">
        <v>14344.11</v>
      </c>
      <c r="L101" s="25">
        <v>0</v>
      </c>
      <c r="M101" s="27" t="str">
        <f ca="1">IFERROR(LEFT(
IF(INDEX('ETAPA OBRA'!C:C,MATCH($B101,'ETAPA OBRA'!$B:$B,0))="x",'ETAPA OBRA'!C$1&amp;", ","")&amp;
IF(INDEX('ETAPA OBRA'!D:D,MATCH($B101,'ETAPA OBRA'!$B:$B,0))="x",'ETAPA OBRA'!D$1&amp;", ","")&amp;
IF(INDEX('ETAPA OBRA'!F:F,MATCH($B101,'ETAPA OBRA'!$B:$B,0))="x",'ETAPA OBRA'!F$1&amp;", ","")&amp;
IF(INDEX('ETAPA OBRA'!G:G,MATCH($B101,'ETAPA OBRA'!$B:$B,0))="x",'ETAPA OBRA'!G$1&amp;", ","")&amp;
IF(INDEX('ETAPA OBRA'!H:H,MATCH($B101,'ETAPA OBRA'!$B:$B,0))="x",'ETAPA OBRA'!H$1&amp;", ","")&amp;
IF(INDEX('ETAPA OBRA'!I:I,MATCH($B101,'ETAPA OBRA'!$B:$B,0))="x",'ETAPA OBRA'!I$1&amp;", ","")&amp;
IF(INDEX('ETAPA OBRA'!J:J,MATCH($B101,'ETAPA OBRA'!$B:$B,0))="x",'ETAPA OBRA'!J$1&amp;", ","")&amp;
IF(INDEX('ETAPA OBRA'!K:K,MATCH($B101,'ETAPA OBRA'!$B:$B,0))="x",'ETAPA OBRA'!K$1&amp;", ","")&amp;
IF(INDEX('ETAPA OBRA'!L:L,MATCH($B101,'ETAPA OBRA'!$B:$B,0))="x",'ETAPA OBRA'!L$1&amp;", ","")&amp;
IF(INDEX('ETAPA OBRA'!M:M,MATCH($B101,'ETAPA OBRA'!$B:$B,0))="x",'ETAPA OBRA'!M$1&amp;", ","")&amp;
IF(INDEX('ETAPA OBRA'!N:N,MATCH($B101,'ETAPA OBRA'!$B:$B,0))="x",'ETAPA OBRA'!N$1&amp;", ","")&amp;
IF(INDEX('ETAPA OBRA'!O:O,MATCH($B101,'ETAPA OBRA'!$B:$B,0))="x",'ETAPA OBRA'!O$1&amp;", ","")&amp;
IF(INDEX('ETAPA OBRA'!P:P,MATCH($B101,'ETAPA OBRA'!$B:$B,0))="x",'ETAPA OBRA'!P$1&amp;", ","")&amp;
IF(INDEX('ETAPA OBRA'!Q:Q,MATCH($B101,'ETAPA OBRA'!$B:$B,0))="x",'ETAPA OBRA'!Q$1&amp;", ","")&amp;
IF(INDEX('ETAPA OBRA'!R:R,MATCH($B101,'ETAPA OBRA'!$B:$B,0))="x",'ETAPA OBRA'!R$1&amp;", ","")&amp;
IF(INDEX('ETAPA OBRA'!S:S,MATCH($B101,'ETAPA OBRA'!$B:$B,0))="x",'ETAPA OBRA'!S$1&amp;", ","")&amp;
IF(INDEX('ETAPA OBRA'!T:T,MATCH($B101,'ETAPA OBRA'!$B:$B,0))="x",'ETAPA OBRA'!T$1&amp;", ","")&amp;
IF(INDEX('ETAPA OBRA'!U:U,MATCH($B101,'ETAPA OBRA'!$B:$B,0))="x",'ETAPA OBRA'!U$1&amp;", ",""),LEN(
IF(INDEX('ETAPA OBRA'!C:C,MATCH($B101,'ETAPA OBRA'!$B:$B,0))="x",'ETAPA OBRA'!C$1&amp;", ","")&amp;
IF(INDEX('ETAPA OBRA'!D:D,MATCH($B101,'ETAPA OBRA'!$B:$B,0))="x",'ETAPA OBRA'!D$1&amp;", ","")&amp;
IF(INDEX('ETAPA OBRA'!F:F,MATCH($B101,'ETAPA OBRA'!$B:$B,0))="x",'ETAPA OBRA'!F$1&amp;", ","")&amp;
IF(INDEX('ETAPA OBRA'!G:G,MATCH($B101,'ETAPA OBRA'!$B:$B,0))="x",'ETAPA OBRA'!G$1&amp;", ","")&amp;
IF(INDEX('ETAPA OBRA'!H:H,MATCH($B101,'ETAPA OBRA'!$B:$B,0))="x",'ETAPA OBRA'!H$1&amp;", ","")&amp;
IF(INDEX('ETAPA OBRA'!I:I,MATCH($B101,'ETAPA OBRA'!$B:$B,0))="x",'ETAPA OBRA'!I$1&amp;", ","")&amp;
IF(INDEX('ETAPA OBRA'!J:J,MATCH($B101,'ETAPA OBRA'!$B:$B,0))="x",'ETAPA OBRA'!J$1&amp;", ","")&amp;
IF(INDEX('ETAPA OBRA'!K:K,MATCH($B101,'ETAPA OBRA'!$B:$B,0))="x",'ETAPA OBRA'!K$1&amp;", ","")&amp;
IF(INDEX('ETAPA OBRA'!L:L,MATCH($B101,'ETAPA OBRA'!$B:$B,0))="x",'ETAPA OBRA'!L$1&amp;", ","")&amp;
IF(INDEX('ETAPA OBRA'!M:M,MATCH($B101,'ETAPA OBRA'!$B:$B,0))="x",'ETAPA OBRA'!M$1&amp;", ","")&amp;
IF(INDEX('ETAPA OBRA'!N:N,MATCH($B101,'ETAPA OBRA'!$B:$B,0))="x",'ETAPA OBRA'!N$1&amp;", ","")&amp;
IF(INDEX('ETAPA OBRA'!O:O,MATCH($B101,'ETAPA OBRA'!$B:$B,0))="x",'ETAPA OBRA'!O$1&amp;", ","")&amp;
IF(INDEX('ETAPA OBRA'!P:P,MATCH($B101,'ETAPA OBRA'!$B:$B,0))="x",'ETAPA OBRA'!P$1&amp;", ","")&amp;
IF(INDEX('ETAPA OBRA'!Q:Q,MATCH($B101,'ETAPA OBRA'!$B:$B,0))="x",'ETAPA OBRA'!Q$1&amp;", ","")&amp;
IF(INDEX('ETAPA OBRA'!R:R,MATCH($B101,'ETAPA OBRA'!$B:$B,0))="x",'ETAPA OBRA'!R$1&amp;", ","")&amp;
IF(INDEX('ETAPA OBRA'!S:S,MATCH($B101,'ETAPA OBRA'!$B:$B,0))="x",'ETAPA OBRA'!S$1&amp;", ","")&amp;
IF(INDEX('ETAPA OBRA'!T:T,MATCH($B101,'ETAPA OBRA'!$B:$B,0))="x",'ETAPA OBRA'!T$1&amp;", ","")&amp;
IF(INDEX('ETAPA OBRA'!U:U,MATCH($B101,'ETAPA OBRA'!$B:$B,0))="x",'ETAPA OBRA'!U$1&amp;", ","")
)-2),"")</f>
        <v>Execução</v>
      </c>
      <c r="N101" s="23" t="str">
        <f t="shared" ca="1" si="14"/>
        <v>Em andamento</v>
      </c>
      <c r="O101" s="28">
        <v>93000</v>
      </c>
      <c r="P101" s="37">
        <f t="shared" si="10"/>
        <v>23844.11</v>
      </c>
      <c r="Q101" s="28">
        <f t="shared" si="15"/>
        <v>69155.89</v>
      </c>
      <c r="R101" s="29">
        <f t="shared" si="16"/>
        <v>0.74361172043010748</v>
      </c>
      <c r="S101" s="23" t="str">
        <f t="shared" si="17"/>
        <v>✅ OK - Fechar Parceiro</v>
      </c>
      <c r="T101" s="23" t="str">
        <f ca="1">Cronograma[[#This Row],[STATUS]]</f>
        <v>⏰ ATRASADO</v>
      </c>
    </row>
    <row r="102" spans="1:20" ht="15" customHeight="1" x14ac:dyDescent="0.3">
      <c r="A102" s="23" t="s">
        <v>319</v>
      </c>
      <c r="B102" s="23" t="str">
        <f>IF(A102&lt;&gt;"","contel-"&amp;TEXT(COUNTA($A$2:A102),"00"),"")</f>
        <v>contel-101</v>
      </c>
      <c r="C102" s="23" t="s">
        <v>21</v>
      </c>
      <c r="D102" s="23" t="s">
        <v>320</v>
      </c>
      <c r="E102" s="23" t="s">
        <v>249</v>
      </c>
      <c r="F102" s="52" t="s">
        <v>321</v>
      </c>
      <c r="G102" s="23">
        <v>1894</v>
      </c>
      <c r="H102" s="30">
        <v>26781</v>
      </c>
      <c r="I102" s="23" t="s">
        <v>34</v>
      </c>
      <c r="J102" s="25">
        <f>SUM(EQUIPE!C102,EQUIPE!E102,EQUIPE!G102,EQUIPE!I102,EQUIPE!K102,EQUIPE!M102,EQUIPE!O102)</f>
        <v>6000</v>
      </c>
      <c r="K102" s="25">
        <v>4472.68</v>
      </c>
      <c r="L102" s="25">
        <v>0</v>
      </c>
      <c r="M102" s="27" t="str">
        <f>IFERROR(LEFT(
IF(INDEX('ETAPA OBRA'!C:C,MATCH($B102,'ETAPA OBRA'!$B:$B,0))="x",'ETAPA OBRA'!C$1&amp;", ","")&amp;
IF(INDEX('ETAPA OBRA'!D:D,MATCH($B102,'ETAPA OBRA'!$B:$B,0))="x",'ETAPA OBRA'!D$1&amp;", ","")&amp;
IF(INDEX('ETAPA OBRA'!F:F,MATCH($B102,'ETAPA OBRA'!$B:$B,0))="x",'ETAPA OBRA'!F$1&amp;", ","")&amp;
IF(INDEX('ETAPA OBRA'!G:G,MATCH($B102,'ETAPA OBRA'!$B:$B,0))="x",'ETAPA OBRA'!G$1&amp;", ","")&amp;
IF(INDEX('ETAPA OBRA'!H:H,MATCH($B102,'ETAPA OBRA'!$B:$B,0))="x",'ETAPA OBRA'!H$1&amp;", ","")&amp;
IF(INDEX('ETAPA OBRA'!I:I,MATCH($B102,'ETAPA OBRA'!$B:$B,0))="x",'ETAPA OBRA'!I$1&amp;", ","")&amp;
IF(INDEX('ETAPA OBRA'!J:J,MATCH($B102,'ETAPA OBRA'!$B:$B,0))="x",'ETAPA OBRA'!J$1&amp;", ","")&amp;
IF(INDEX('ETAPA OBRA'!K:K,MATCH($B102,'ETAPA OBRA'!$B:$B,0))="x",'ETAPA OBRA'!K$1&amp;", ","")&amp;
IF(INDEX('ETAPA OBRA'!L:L,MATCH($B102,'ETAPA OBRA'!$B:$B,0))="x",'ETAPA OBRA'!L$1&amp;", ","")&amp;
IF(INDEX('ETAPA OBRA'!M:M,MATCH($B102,'ETAPA OBRA'!$B:$B,0))="x",'ETAPA OBRA'!M$1&amp;", ","")&amp;
IF(INDEX('ETAPA OBRA'!N:N,MATCH($B102,'ETAPA OBRA'!$B:$B,0))="x",'ETAPA OBRA'!N$1&amp;", ","")&amp;
IF(INDEX('ETAPA OBRA'!O:O,MATCH($B102,'ETAPA OBRA'!$B:$B,0))="x",'ETAPA OBRA'!O$1&amp;", ","")&amp;
IF(INDEX('ETAPA OBRA'!P:P,MATCH($B102,'ETAPA OBRA'!$B:$B,0))="x",'ETAPA OBRA'!P$1&amp;", ","")&amp;
IF(INDEX('ETAPA OBRA'!Q:Q,MATCH($B102,'ETAPA OBRA'!$B:$B,0))="x",'ETAPA OBRA'!Q$1&amp;", ","")&amp;
IF(INDEX('ETAPA OBRA'!R:R,MATCH($B102,'ETAPA OBRA'!$B:$B,0))="x",'ETAPA OBRA'!R$1&amp;", ","")&amp;
IF(INDEX('ETAPA OBRA'!S:S,MATCH($B102,'ETAPA OBRA'!$B:$B,0))="x",'ETAPA OBRA'!S$1&amp;", ","")&amp;
IF(INDEX('ETAPA OBRA'!T:T,MATCH($B102,'ETAPA OBRA'!$B:$B,0))="x",'ETAPA OBRA'!T$1&amp;", ","")&amp;
IF(INDEX('ETAPA OBRA'!U:U,MATCH($B102,'ETAPA OBRA'!$B:$B,0))="x",'ETAPA OBRA'!U$1&amp;", ",""),LEN(
IF(INDEX('ETAPA OBRA'!C:C,MATCH($B102,'ETAPA OBRA'!$B:$B,0))="x",'ETAPA OBRA'!C$1&amp;", ","")&amp;
IF(INDEX('ETAPA OBRA'!D:D,MATCH($B102,'ETAPA OBRA'!$B:$B,0))="x",'ETAPA OBRA'!D$1&amp;", ","")&amp;
IF(INDEX('ETAPA OBRA'!F:F,MATCH($B102,'ETAPA OBRA'!$B:$B,0))="x",'ETAPA OBRA'!F$1&amp;", ","")&amp;
IF(INDEX('ETAPA OBRA'!G:G,MATCH($B102,'ETAPA OBRA'!$B:$B,0))="x",'ETAPA OBRA'!G$1&amp;", ","")&amp;
IF(INDEX('ETAPA OBRA'!H:H,MATCH($B102,'ETAPA OBRA'!$B:$B,0))="x",'ETAPA OBRA'!H$1&amp;", ","")&amp;
IF(INDEX('ETAPA OBRA'!I:I,MATCH($B102,'ETAPA OBRA'!$B:$B,0))="x",'ETAPA OBRA'!I$1&amp;", ","")&amp;
IF(INDEX('ETAPA OBRA'!J:J,MATCH($B102,'ETAPA OBRA'!$B:$B,0))="x",'ETAPA OBRA'!J$1&amp;", ","")&amp;
IF(INDEX('ETAPA OBRA'!K:K,MATCH($B102,'ETAPA OBRA'!$B:$B,0))="x",'ETAPA OBRA'!K$1&amp;", ","")&amp;
IF(INDEX('ETAPA OBRA'!L:L,MATCH($B102,'ETAPA OBRA'!$B:$B,0))="x",'ETAPA OBRA'!L$1&amp;", ","")&amp;
IF(INDEX('ETAPA OBRA'!M:M,MATCH($B102,'ETAPA OBRA'!$B:$B,0))="x",'ETAPA OBRA'!M$1&amp;", ","")&amp;
IF(INDEX('ETAPA OBRA'!N:N,MATCH($B102,'ETAPA OBRA'!$B:$B,0))="x",'ETAPA OBRA'!N$1&amp;", ","")&amp;
IF(INDEX('ETAPA OBRA'!O:O,MATCH($B102,'ETAPA OBRA'!$B:$B,0))="x",'ETAPA OBRA'!O$1&amp;", ","")&amp;
IF(INDEX('ETAPA OBRA'!P:P,MATCH($B102,'ETAPA OBRA'!$B:$B,0))="x",'ETAPA OBRA'!P$1&amp;", ","")&amp;
IF(INDEX('ETAPA OBRA'!Q:Q,MATCH($B102,'ETAPA OBRA'!$B:$B,0))="x",'ETAPA OBRA'!Q$1&amp;", ","")&amp;
IF(INDEX('ETAPA OBRA'!R:R,MATCH($B102,'ETAPA OBRA'!$B:$B,0))="x",'ETAPA OBRA'!R$1&amp;", ","")&amp;
IF(INDEX('ETAPA OBRA'!S:S,MATCH($B102,'ETAPA OBRA'!$B:$B,0))="x",'ETAPA OBRA'!S$1&amp;", ","")&amp;
IF(INDEX('ETAPA OBRA'!T:T,MATCH($B102,'ETAPA OBRA'!$B:$B,0))="x",'ETAPA OBRA'!T$1&amp;", ","")&amp;
IF(INDEX('ETAPA OBRA'!U:U,MATCH($B102,'ETAPA OBRA'!$B:$B,0))="x",'ETAPA OBRA'!U$1&amp;", ","")
)-2),"")</f>
        <v>Finalizado</v>
      </c>
      <c r="N102" s="23" t="str">
        <f t="shared" si="14"/>
        <v>Finalizado</v>
      </c>
      <c r="O102" s="28">
        <v>21751.17</v>
      </c>
      <c r="P102" s="37">
        <f t="shared" si="10"/>
        <v>10472.68</v>
      </c>
      <c r="Q102" s="28">
        <f t="shared" si="15"/>
        <v>11278.489999999998</v>
      </c>
      <c r="R102" s="29">
        <f t="shared" si="16"/>
        <v>0.51852337138645865</v>
      </c>
      <c r="S102" s="23" t="str">
        <f t="shared" si="17"/>
        <v>✅ OK - Fechar Parceiro</v>
      </c>
      <c r="T102" s="23" t="str">
        <f>Cronograma[[#This Row],[STATUS]]</f>
        <v>✅ CONCLUÍDO</v>
      </c>
    </row>
    <row r="103" spans="1:20" ht="15" customHeight="1" x14ac:dyDescent="0.3">
      <c r="A103" s="23" t="s">
        <v>322</v>
      </c>
      <c r="B103" s="23" t="str">
        <f>IF(A103&lt;&gt;"","contel-"&amp;TEXT(COUNTA($A$2:A103),"00"),"")</f>
        <v>contel-102</v>
      </c>
      <c r="C103" s="23" t="s">
        <v>120</v>
      </c>
      <c r="D103" s="23" t="s">
        <v>96</v>
      </c>
      <c r="E103" s="23" t="s">
        <v>97</v>
      </c>
      <c r="F103" s="52" t="s">
        <v>323</v>
      </c>
      <c r="G103" s="23">
        <v>1902</v>
      </c>
      <c r="H103" s="30">
        <v>26900</v>
      </c>
      <c r="I103" s="23" t="s">
        <v>34</v>
      </c>
      <c r="J103" s="25">
        <f>SUM(EQUIPE!C103,EQUIPE!E103,EQUIPE!G103,EQUIPE!I103,EQUIPE!K103,EQUIPE!M103,EQUIPE!O103)</f>
        <v>400</v>
      </c>
      <c r="K103" s="25">
        <v>0</v>
      </c>
      <c r="L103" s="25">
        <v>0</v>
      </c>
      <c r="M103" s="27" t="str">
        <f ca="1">IFERROR(LEFT(
IF(INDEX('ETAPA OBRA'!C:C,MATCH($B103,'ETAPA OBRA'!$B:$B,0))="x",'ETAPA OBRA'!C$1&amp;", ","")&amp;
IF(INDEX('ETAPA OBRA'!D:D,MATCH($B103,'ETAPA OBRA'!$B:$B,0))="x",'ETAPA OBRA'!D$1&amp;", ","")&amp;
IF(INDEX('ETAPA OBRA'!F:F,MATCH($B103,'ETAPA OBRA'!$B:$B,0))="x",'ETAPA OBRA'!F$1&amp;", ","")&amp;
IF(INDEX('ETAPA OBRA'!G:G,MATCH($B103,'ETAPA OBRA'!$B:$B,0))="x",'ETAPA OBRA'!G$1&amp;", ","")&amp;
IF(INDEX('ETAPA OBRA'!H:H,MATCH($B103,'ETAPA OBRA'!$B:$B,0))="x",'ETAPA OBRA'!H$1&amp;", ","")&amp;
IF(INDEX('ETAPA OBRA'!I:I,MATCH($B103,'ETAPA OBRA'!$B:$B,0))="x",'ETAPA OBRA'!I$1&amp;", ","")&amp;
IF(INDEX('ETAPA OBRA'!J:J,MATCH($B103,'ETAPA OBRA'!$B:$B,0))="x",'ETAPA OBRA'!J$1&amp;", ","")&amp;
IF(INDEX('ETAPA OBRA'!K:K,MATCH($B103,'ETAPA OBRA'!$B:$B,0))="x",'ETAPA OBRA'!K$1&amp;", ","")&amp;
IF(INDEX('ETAPA OBRA'!L:L,MATCH($B103,'ETAPA OBRA'!$B:$B,0))="x",'ETAPA OBRA'!L$1&amp;", ","")&amp;
IF(INDEX('ETAPA OBRA'!M:M,MATCH($B103,'ETAPA OBRA'!$B:$B,0))="x",'ETAPA OBRA'!M$1&amp;", ","")&amp;
IF(INDEX('ETAPA OBRA'!N:N,MATCH($B103,'ETAPA OBRA'!$B:$B,0))="x",'ETAPA OBRA'!N$1&amp;", ","")&amp;
IF(INDEX('ETAPA OBRA'!O:O,MATCH($B103,'ETAPA OBRA'!$B:$B,0))="x",'ETAPA OBRA'!O$1&amp;", ","")&amp;
IF(INDEX('ETAPA OBRA'!P:P,MATCH($B103,'ETAPA OBRA'!$B:$B,0))="x",'ETAPA OBRA'!P$1&amp;", ","")&amp;
IF(INDEX('ETAPA OBRA'!Q:Q,MATCH($B103,'ETAPA OBRA'!$B:$B,0))="x",'ETAPA OBRA'!Q$1&amp;", ","")&amp;
IF(INDEX('ETAPA OBRA'!R:R,MATCH($B103,'ETAPA OBRA'!$B:$B,0))="x",'ETAPA OBRA'!R$1&amp;", ","")&amp;
IF(INDEX('ETAPA OBRA'!S:S,MATCH($B103,'ETAPA OBRA'!$B:$B,0))="x",'ETAPA OBRA'!S$1&amp;", ","")&amp;
IF(INDEX('ETAPA OBRA'!T:T,MATCH($B103,'ETAPA OBRA'!$B:$B,0))="x",'ETAPA OBRA'!T$1&amp;", ","")&amp;
IF(INDEX('ETAPA OBRA'!U:U,MATCH($B103,'ETAPA OBRA'!$B:$B,0))="x",'ETAPA OBRA'!U$1&amp;", ",""),LEN(
IF(INDEX('ETAPA OBRA'!C:C,MATCH($B103,'ETAPA OBRA'!$B:$B,0))="x",'ETAPA OBRA'!C$1&amp;", ","")&amp;
IF(INDEX('ETAPA OBRA'!D:D,MATCH($B103,'ETAPA OBRA'!$B:$B,0))="x",'ETAPA OBRA'!D$1&amp;", ","")&amp;
IF(INDEX('ETAPA OBRA'!F:F,MATCH($B103,'ETAPA OBRA'!$B:$B,0))="x",'ETAPA OBRA'!F$1&amp;", ","")&amp;
IF(INDEX('ETAPA OBRA'!G:G,MATCH($B103,'ETAPA OBRA'!$B:$B,0))="x",'ETAPA OBRA'!G$1&amp;", ","")&amp;
IF(INDEX('ETAPA OBRA'!H:H,MATCH($B103,'ETAPA OBRA'!$B:$B,0))="x",'ETAPA OBRA'!H$1&amp;", ","")&amp;
IF(INDEX('ETAPA OBRA'!I:I,MATCH($B103,'ETAPA OBRA'!$B:$B,0))="x",'ETAPA OBRA'!I$1&amp;", ","")&amp;
IF(INDEX('ETAPA OBRA'!J:J,MATCH($B103,'ETAPA OBRA'!$B:$B,0))="x",'ETAPA OBRA'!J$1&amp;", ","")&amp;
IF(INDEX('ETAPA OBRA'!K:K,MATCH($B103,'ETAPA OBRA'!$B:$B,0))="x",'ETAPA OBRA'!K$1&amp;", ","")&amp;
IF(INDEX('ETAPA OBRA'!L:L,MATCH($B103,'ETAPA OBRA'!$B:$B,0))="x",'ETAPA OBRA'!L$1&amp;", ","")&amp;
IF(INDEX('ETAPA OBRA'!M:M,MATCH($B103,'ETAPA OBRA'!$B:$B,0))="x",'ETAPA OBRA'!M$1&amp;", ","")&amp;
IF(INDEX('ETAPA OBRA'!N:N,MATCH($B103,'ETAPA OBRA'!$B:$B,0))="x",'ETAPA OBRA'!N$1&amp;", ","")&amp;
IF(INDEX('ETAPA OBRA'!O:O,MATCH($B103,'ETAPA OBRA'!$B:$B,0))="x",'ETAPA OBRA'!O$1&amp;", ","")&amp;
IF(INDEX('ETAPA OBRA'!P:P,MATCH($B103,'ETAPA OBRA'!$B:$B,0))="x",'ETAPA OBRA'!P$1&amp;", ","")&amp;
IF(INDEX('ETAPA OBRA'!Q:Q,MATCH($B103,'ETAPA OBRA'!$B:$B,0))="x",'ETAPA OBRA'!Q$1&amp;", ","")&amp;
IF(INDEX('ETAPA OBRA'!R:R,MATCH($B103,'ETAPA OBRA'!$B:$B,0))="x",'ETAPA OBRA'!R$1&amp;", ","")&amp;
IF(INDEX('ETAPA OBRA'!S:S,MATCH($B103,'ETAPA OBRA'!$B:$B,0))="x",'ETAPA OBRA'!S$1&amp;", ","")&amp;
IF(INDEX('ETAPA OBRA'!T:T,MATCH($B103,'ETAPA OBRA'!$B:$B,0))="x",'ETAPA OBRA'!T$1&amp;", ","")&amp;
IF(INDEX('ETAPA OBRA'!U:U,MATCH($B103,'ETAPA OBRA'!$B:$B,0))="x",'ETAPA OBRA'!U$1&amp;", ","")
)-2),"")</f>
        <v>Survey</v>
      </c>
      <c r="N103" s="23" t="str">
        <f t="shared" ca="1" si="14"/>
        <v>Em andamento</v>
      </c>
      <c r="O103" s="28"/>
      <c r="P103" s="37">
        <f t="shared" si="10"/>
        <v>400</v>
      </c>
      <c r="Q103" s="28">
        <f t="shared" si="15"/>
        <v>-400</v>
      </c>
      <c r="R103" s="29">
        <f t="shared" si="16"/>
        <v>0</v>
      </c>
      <c r="S103" s="23" t="str">
        <f t="shared" si="17"/>
        <v>⚠️ Ajustar Custos (&lt;20%)</v>
      </c>
      <c r="T103" s="23" t="str">
        <f ca="1">Cronograma[[#This Row],[STATUS]]</f>
        <v>🕓 EM ANDAMENTO</v>
      </c>
    </row>
    <row r="104" spans="1:20" ht="15" customHeight="1" x14ac:dyDescent="0.3">
      <c r="A104" s="23" t="s">
        <v>324</v>
      </c>
      <c r="B104" s="23" t="str">
        <f>IF(A104&lt;&gt;"","contel-"&amp;TEXT(COUNTA($A$2:A104),"00"),"")</f>
        <v>contel-103</v>
      </c>
      <c r="C104" s="23" t="s">
        <v>120</v>
      </c>
      <c r="D104" s="23" t="s">
        <v>325</v>
      </c>
      <c r="E104" s="23" t="s">
        <v>32</v>
      </c>
      <c r="F104" s="52" t="s">
        <v>326</v>
      </c>
      <c r="G104" s="23">
        <v>1903</v>
      </c>
      <c r="H104" s="30">
        <v>26905</v>
      </c>
      <c r="I104" s="23" t="s">
        <v>297</v>
      </c>
      <c r="J104" s="25">
        <f>SUM(EQUIPE!C104,EQUIPE!E104,EQUIPE!G104,EQUIPE!I104,EQUIPE!K104,EQUIPE!M104,EQUIPE!O104)</f>
        <v>800</v>
      </c>
      <c r="K104" s="25">
        <v>0</v>
      </c>
      <c r="L104" s="25">
        <v>0</v>
      </c>
      <c r="M104" s="27" t="str">
        <f ca="1">IFERROR(LEFT(
IF(INDEX('ETAPA OBRA'!C:C,MATCH($B104,'ETAPA OBRA'!$B:$B,0))="x",'ETAPA OBRA'!C$1&amp;", ","")&amp;
IF(INDEX('ETAPA OBRA'!D:D,MATCH($B104,'ETAPA OBRA'!$B:$B,0))="x",'ETAPA OBRA'!D$1&amp;", ","")&amp;
IF(INDEX('ETAPA OBRA'!F:F,MATCH($B104,'ETAPA OBRA'!$B:$B,0))="x",'ETAPA OBRA'!F$1&amp;", ","")&amp;
IF(INDEX('ETAPA OBRA'!G:G,MATCH($B104,'ETAPA OBRA'!$B:$B,0))="x",'ETAPA OBRA'!G$1&amp;", ","")&amp;
IF(INDEX('ETAPA OBRA'!H:H,MATCH($B104,'ETAPA OBRA'!$B:$B,0))="x",'ETAPA OBRA'!H$1&amp;", ","")&amp;
IF(INDEX('ETAPA OBRA'!I:I,MATCH($B104,'ETAPA OBRA'!$B:$B,0))="x",'ETAPA OBRA'!I$1&amp;", ","")&amp;
IF(INDEX('ETAPA OBRA'!J:J,MATCH($B104,'ETAPA OBRA'!$B:$B,0))="x",'ETAPA OBRA'!J$1&amp;", ","")&amp;
IF(INDEX('ETAPA OBRA'!K:K,MATCH($B104,'ETAPA OBRA'!$B:$B,0))="x",'ETAPA OBRA'!K$1&amp;", ","")&amp;
IF(INDEX('ETAPA OBRA'!L:L,MATCH($B104,'ETAPA OBRA'!$B:$B,0))="x",'ETAPA OBRA'!L$1&amp;", ","")&amp;
IF(INDEX('ETAPA OBRA'!M:M,MATCH($B104,'ETAPA OBRA'!$B:$B,0))="x",'ETAPA OBRA'!M$1&amp;", ","")&amp;
IF(INDEX('ETAPA OBRA'!N:N,MATCH($B104,'ETAPA OBRA'!$B:$B,0))="x",'ETAPA OBRA'!N$1&amp;", ","")&amp;
IF(INDEX('ETAPA OBRA'!O:O,MATCH($B104,'ETAPA OBRA'!$B:$B,0))="x",'ETAPA OBRA'!O$1&amp;", ","")&amp;
IF(INDEX('ETAPA OBRA'!P:P,MATCH($B104,'ETAPA OBRA'!$B:$B,0))="x",'ETAPA OBRA'!P$1&amp;", ","")&amp;
IF(INDEX('ETAPA OBRA'!Q:Q,MATCH($B104,'ETAPA OBRA'!$B:$B,0))="x",'ETAPA OBRA'!Q$1&amp;", ","")&amp;
IF(INDEX('ETAPA OBRA'!R:R,MATCH($B104,'ETAPA OBRA'!$B:$B,0))="x",'ETAPA OBRA'!R$1&amp;", ","")&amp;
IF(INDEX('ETAPA OBRA'!S:S,MATCH($B104,'ETAPA OBRA'!$B:$B,0))="x",'ETAPA OBRA'!S$1&amp;", ","")&amp;
IF(INDEX('ETAPA OBRA'!T:T,MATCH($B104,'ETAPA OBRA'!$B:$B,0))="x",'ETAPA OBRA'!T$1&amp;", ","")&amp;
IF(INDEX('ETAPA OBRA'!U:U,MATCH($B104,'ETAPA OBRA'!$B:$B,0))="x",'ETAPA OBRA'!U$1&amp;", ",""),LEN(
IF(INDEX('ETAPA OBRA'!C:C,MATCH($B104,'ETAPA OBRA'!$B:$B,0))="x",'ETAPA OBRA'!C$1&amp;", ","")&amp;
IF(INDEX('ETAPA OBRA'!D:D,MATCH($B104,'ETAPA OBRA'!$B:$B,0))="x",'ETAPA OBRA'!D$1&amp;", ","")&amp;
IF(INDEX('ETAPA OBRA'!F:F,MATCH($B104,'ETAPA OBRA'!$B:$B,0))="x",'ETAPA OBRA'!F$1&amp;", ","")&amp;
IF(INDEX('ETAPA OBRA'!G:G,MATCH($B104,'ETAPA OBRA'!$B:$B,0))="x",'ETAPA OBRA'!G$1&amp;", ","")&amp;
IF(INDEX('ETAPA OBRA'!H:H,MATCH($B104,'ETAPA OBRA'!$B:$B,0))="x",'ETAPA OBRA'!H$1&amp;", ","")&amp;
IF(INDEX('ETAPA OBRA'!I:I,MATCH($B104,'ETAPA OBRA'!$B:$B,0))="x",'ETAPA OBRA'!I$1&amp;", ","")&amp;
IF(INDEX('ETAPA OBRA'!J:J,MATCH($B104,'ETAPA OBRA'!$B:$B,0))="x",'ETAPA OBRA'!J$1&amp;", ","")&amp;
IF(INDEX('ETAPA OBRA'!K:K,MATCH($B104,'ETAPA OBRA'!$B:$B,0))="x",'ETAPA OBRA'!K$1&amp;", ","")&amp;
IF(INDEX('ETAPA OBRA'!L:L,MATCH($B104,'ETAPA OBRA'!$B:$B,0))="x",'ETAPA OBRA'!L$1&amp;", ","")&amp;
IF(INDEX('ETAPA OBRA'!M:M,MATCH($B104,'ETAPA OBRA'!$B:$B,0))="x",'ETAPA OBRA'!M$1&amp;", ","")&amp;
IF(INDEX('ETAPA OBRA'!N:N,MATCH($B104,'ETAPA OBRA'!$B:$B,0))="x",'ETAPA OBRA'!N$1&amp;", ","")&amp;
IF(INDEX('ETAPA OBRA'!O:O,MATCH($B104,'ETAPA OBRA'!$B:$B,0))="x",'ETAPA OBRA'!O$1&amp;", ","")&amp;
IF(INDEX('ETAPA OBRA'!P:P,MATCH($B104,'ETAPA OBRA'!$B:$B,0))="x",'ETAPA OBRA'!P$1&amp;", ","")&amp;
IF(INDEX('ETAPA OBRA'!Q:Q,MATCH($B104,'ETAPA OBRA'!$B:$B,0))="x",'ETAPA OBRA'!Q$1&amp;", ","")&amp;
IF(INDEX('ETAPA OBRA'!R:R,MATCH($B104,'ETAPA OBRA'!$B:$B,0))="x",'ETAPA OBRA'!R$1&amp;", ","")&amp;
IF(INDEX('ETAPA OBRA'!S:S,MATCH($B104,'ETAPA OBRA'!$B:$B,0))="x",'ETAPA OBRA'!S$1&amp;", ","")&amp;
IF(INDEX('ETAPA OBRA'!T:T,MATCH($B104,'ETAPA OBRA'!$B:$B,0))="x",'ETAPA OBRA'!T$1&amp;", ","")&amp;
IF(INDEX('ETAPA OBRA'!U:U,MATCH($B104,'ETAPA OBRA'!$B:$B,0))="x",'ETAPA OBRA'!U$1&amp;", ","")
)-2),"")</f>
        <v>Survey</v>
      </c>
      <c r="N104" s="23" t="str">
        <f t="shared" ca="1" si="14"/>
        <v>Em andamento</v>
      </c>
      <c r="O104" s="28"/>
      <c r="P104" s="37">
        <f t="shared" si="10"/>
        <v>800</v>
      </c>
      <c r="Q104" s="28">
        <f t="shared" si="15"/>
        <v>-800</v>
      </c>
      <c r="R104" s="29">
        <f t="shared" si="16"/>
        <v>0</v>
      </c>
      <c r="S104" s="23" t="str">
        <f t="shared" si="17"/>
        <v>⚠️ Ajustar Custos (&lt;20%)</v>
      </c>
      <c r="T104" s="23" t="str">
        <f ca="1">Cronograma[[#This Row],[STATUS]]</f>
        <v>🕓 EM ANDAMENTO</v>
      </c>
    </row>
    <row r="105" spans="1:20" ht="15" customHeight="1" x14ac:dyDescent="0.3">
      <c r="A105" s="23" t="s">
        <v>327</v>
      </c>
      <c r="B105" s="23" t="str">
        <f>IF(A105&lt;&gt;"","contel-"&amp;TEXT(COUNTA($A$2:A105),"00"),"")</f>
        <v>contel-104</v>
      </c>
      <c r="C105" s="23" t="s">
        <v>120</v>
      </c>
      <c r="D105" s="23" t="s">
        <v>328</v>
      </c>
      <c r="E105" s="23" t="s">
        <v>32</v>
      </c>
      <c r="F105" s="52" t="s">
        <v>329</v>
      </c>
      <c r="G105" s="23">
        <v>1888</v>
      </c>
      <c r="H105" s="30">
        <v>3527</v>
      </c>
      <c r="I105" s="23" t="s">
        <v>297</v>
      </c>
      <c r="J105" s="25">
        <f>SUM(EQUIPE!C105,EQUIPE!E105,EQUIPE!G105,EQUIPE!I105,EQUIPE!K105,EQUIPE!M105,EQUIPE!O105)</f>
        <v>300</v>
      </c>
      <c r="K105" s="25">
        <v>0</v>
      </c>
      <c r="L105" s="25">
        <v>0</v>
      </c>
      <c r="M105" s="27" t="str">
        <f ca="1">IFERROR(LEFT(
IF(INDEX('ETAPA OBRA'!C:C,MATCH($B105,'ETAPA OBRA'!$B:$B,0))="x",'ETAPA OBRA'!C$1&amp;", ","")&amp;
IF(INDEX('ETAPA OBRA'!D:D,MATCH($B105,'ETAPA OBRA'!$B:$B,0))="x",'ETAPA OBRA'!D$1&amp;", ","")&amp;
IF(INDEX('ETAPA OBRA'!F:F,MATCH($B105,'ETAPA OBRA'!$B:$B,0))="x",'ETAPA OBRA'!F$1&amp;", ","")&amp;
IF(INDEX('ETAPA OBRA'!G:G,MATCH($B105,'ETAPA OBRA'!$B:$B,0))="x",'ETAPA OBRA'!G$1&amp;", ","")&amp;
IF(INDEX('ETAPA OBRA'!H:H,MATCH($B105,'ETAPA OBRA'!$B:$B,0))="x",'ETAPA OBRA'!H$1&amp;", ","")&amp;
IF(INDEX('ETAPA OBRA'!I:I,MATCH($B105,'ETAPA OBRA'!$B:$B,0))="x",'ETAPA OBRA'!I$1&amp;", ","")&amp;
IF(INDEX('ETAPA OBRA'!J:J,MATCH($B105,'ETAPA OBRA'!$B:$B,0))="x",'ETAPA OBRA'!J$1&amp;", ","")&amp;
IF(INDEX('ETAPA OBRA'!K:K,MATCH($B105,'ETAPA OBRA'!$B:$B,0))="x",'ETAPA OBRA'!K$1&amp;", ","")&amp;
IF(INDEX('ETAPA OBRA'!L:L,MATCH($B105,'ETAPA OBRA'!$B:$B,0))="x",'ETAPA OBRA'!L$1&amp;", ","")&amp;
IF(INDEX('ETAPA OBRA'!M:M,MATCH($B105,'ETAPA OBRA'!$B:$B,0))="x",'ETAPA OBRA'!M$1&amp;", ","")&amp;
IF(INDEX('ETAPA OBRA'!N:N,MATCH($B105,'ETAPA OBRA'!$B:$B,0))="x",'ETAPA OBRA'!N$1&amp;", ","")&amp;
IF(INDEX('ETAPA OBRA'!O:O,MATCH($B105,'ETAPA OBRA'!$B:$B,0))="x",'ETAPA OBRA'!O$1&amp;", ","")&amp;
IF(INDEX('ETAPA OBRA'!P:P,MATCH($B105,'ETAPA OBRA'!$B:$B,0))="x",'ETAPA OBRA'!P$1&amp;", ","")&amp;
IF(INDEX('ETAPA OBRA'!Q:Q,MATCH($B105,'ETAPA OBRA'!$B:$B,0))="x",'ETAPA OBRA'!Q$1&amp;", ","")&amp;
IF(INDEX('ETAPA OBRA'!R:R,MATCH($B105,'ETAPA OBRA'!$B:$B,0))="x",'ETAPA OBRA'!R$1&amp;", ","")&amp;
IF(INDEX('ETAPA OBRA'!S:S,MATCH($B105,'ETAPA OBRA'!$B:$B,0))="x",'ETAPA OBRA'!S$1&amp;", ","")&amp;
IF(INDEX('ETAPA OBRA'!T:T,MATCH($B105,'ETAPA OBRA'!$B:$B,0))="x",'ETAPA OBRA'!T$1&amp;", ","")&amp;
IF(INDEX('ETAPA OBRA'!U:U,MATCH($B105,'ETAPA OBRA'!$B:$B,0))="x",'ETAPA OBRA'!U$1&amp;", ",""),LEN(
IF(INDEX('ETAPA OBRA'!C:C,MATCH($B105,'ETAPA OBRA'!$B:$B,0))="x",'ETAPA OBRA'!C$1&amp;", ","")&amp;
IF(INDEX('ETAPA OBRA'!D:D,MATCH($B105,'ETAPA OBRA'!$B:$B,0))="x",'ETAPA OBRA'!D$1&amp;", ","")&amp;
IF(INDEX('ETAPA OBRA'!F:F,MATCH($B105,'ETAPA OBRA'!$B:$B,0))="x",'ETAPA OBRA'!F$1&amp;", ","")&amp;
IF(INDEX('ETAPA OBRA'!G:G,MATCH($B105,'ETAPA OBRA'!$B:$B,0))="x",'ETAPA OBRA'!G$1&amp;", ","")&amp;
IF(INDEX('ETAPA OBRA'!H:H,MATCH($B105,'ETAPA OBRA'!$B:$B,0))="x",'ETAPA OBRA'!H$1&amp;", ","")&amp;
IF(INDEX('ETAPA OBRA'!I:I,MATCH($B105,'ETAPA OBRA'!$B:$B,0))="x",'ETAPA OBRA'!I$1&amp;", ","")&amp;
IF(INDEX('ETAPA OBRA'!J:J,MATCH($B105,'ETAPA OBRA'!$B:$B,0))="x",'ETAPA OBRA'!J$1&amp;", ","")&amp;
IF(INDEX('ETAPA OBRA'!K:K,MATCH($B105,'ETAPA OBRA'!$B:$B,0))="x",'ETAPA OBRA'!K$1&amp;", ","")&amp;
IF(INDEX('ETAPA OBRA'!L:L,MATCH($B105,'ETAPA OBRA'!$B:$B,0))="x",'ETAPA OBRA'!L$1&amp;", ","")&amp;
IF(INDEX('ETAPA OBRA'!M:M,MATCH($B105,'ETAPA OBRA'!$B:$B,0))="x",'ETAPA OBRA'!M$1&amp;", ","")&amp;
IF(INDEX('ETAPA OBRA'!N:N,MATCH($B105,'ETAPA OBRA'!$B:$B,0))="x",'ETAPA OBRA'!N$1&amp;", ","")&amp;
IF(INDEX('ETAPA OBRA'!O:O,MATCH($B105,'ETAPA OBRA'!$B:$B,0))="x",'ETAPA OBRA'!O$1&amp;", ","")&amp;
IF(INDEX('ETAPA OBRA'!P:P,MATCH($B105,'ETAPA OBRA'!$B:$B,0))="x",'ETAPA OBRA'!P$1&amp;", ","")&amp;
IF(INDEX('ETAPA OBRA'!Q:Q,MATCH($B105,'ETAPA OBRA'!$B:$B,0))="x",'ETAPA OBRA'!Q$1&amp;", ","")&amp;
IF(INDEX('ETAPA OBRA'!R:R,MATCH($B105,'ETAPA OBRA'!$B:$B,0))="x",'ETAPA OBRA'!R$1&amp;", ","")&amp;
IF(INDEX('ETAPA OBRA'!S:S,MATCH($B105,'ETAPA OBRA'!$B:$B,0))="x",'ETAPA OBRA'!S$1&amp;", ","")&amp;
IF(INDEX('ETAPA OBRA'!T:T,MATCH($B105,'ETAPA OBRA'!$B:$B,0))="x",'ETAPA OBRA'!T$1&amp;", ","")&amp;
IF(INDEX('ETAPA OBRA'!U:U,MATCH($B105,'ETAPA OBRA'!$B:$B,0))="x",'ETAPA OBRA'!U$1&amp;", ","")
)-2),"")</f>
        <v>Survey</v>
      </c>
      <c r="N105" s="23" t="str">
        <f t="shared" ca="1" si="14"/>
        <v>Em andamento</v>
      </c>
      <c r="O105" s="28"/>
      <c r="P105" s="37">
        <f t="shared" si="10"/>
        <v>300</v>
      </c>
      <c r="Q105" s="28">
        <f t="shared" si="15"/>
        <v>-300</v>
      </c>
      <c r="R105" s="29">
        <f t="shared" si="16"/>
        <v>0</v>
      </c>
      <c r="S105" s="23" t="str">
        <f t="shared" si="17"/>
        <v>⚠️ Ajustar Custos (&lt;20%)</v>
      </c>
      <c r="T105" s="23" t="str">
        <f ca="1">Cronograma[[#This Row],[STATUS]]</f>
        <v>⏰ ATRASADO</v>
      </c>
    </row>
    <row r="106" spans="1:20" ht="15" customHeight="1" x14ac:dyDescent="0.3">
      <c r="A106" s="23" t="s">
        <v>330</v>
      </c>
      <c r="B106" s="23" t="str">
        <f>IF(A106&lt;&gt;"","contel-"&amp;TEXT(COUNTA($A$2:A106),"00"),"")</f>
        <v>contel-105</v>
      </c>
      <c r="C106" s="23" t="s">
        <v>120</v>
      </c>
      <c r="D106" s="23" t="s">
        <v>27</v>
      </c>
      <c r="E106" s="23" t="s">
        <v>28</v>
      </c>
      <c r="F106" s="52" t="s">
        <v>331</v>
      </c>
      <c r="G106" s="23">
        <v>1909</v>
      </c>
      <c r="H106" s="30">
        <v>26967</v>
      </c>
      <c r="I106" s="23" t="s">
        <v>90</v>
      </c>
      <c r="J106" s="25">
        <f>SUM(EQUIPE!C106,EQUIPE!E106,EQUIPE!G106,EQUIPE!I106,EQUIPE!K106,EQUIPE!M106,EQUIPE!O106)</f>
        <v>250</v>
      </c>
      <c r="K106" s="25">
        <v>0</v>
      </c>
      <c r="L106" s="25">
        <v>0</v>
      </c>
      <c r="M106" s="27" t="str">
        <f>IFERROR(LEFT(
IF(INDEX('ETAPA OBRA'!C:C,MATCH($B106,'ETAPA OBRA'!$B:$B,0))="x",'ETAPA OBRA'!C$1&amp;", ","")&amp;
IF(INDEX('ETAPA OBRA'!D:D,MATCH($B106,'ETAPA OBRA'!$B:$B,0))="x",'ETAPA OBRA'!D$1&amp;", ","")&amp;
IF(INDEX('ETAPA OBRA'!F:F,MATCH($B106,'ETAPA OBRA'!$B:$B,0))="x",'ETAPA OBRA'!F$1&amp;", ","")&amp;
IF(INDEX('ETAPA OBRA'!G:G,MATCH($B106,'ETAPA OBRA'!$B:$B,0))="x",'ETAPA OBRA'!G$1&amp;", ","")&amp;
IF(INDEX('ETAPA OBRA'!H:H,MATCH($B106,'ETAPA OBRA'!$B:$B,0))="x",'ETAPA OBRA'!H$1&amp;", ","")&amp;
IF(INDEX('ETAPA OBRA'!I:I,MATCH($B106,'ETAPA OBRA'!$B:$B,0))="x",'ETAPA OBRA'!I$1&amp;", ","")&amp;
IF(INDEX('ETAPA OBRA'!J:J,MATCH($B106,'ETAPA OBRA'!$B:$B,0))="x",'ETAPA OBRA'!J$1&amp;", ","")&amp;
IF(INDEX('ETAPA OBRA'!K:K,MATCH($B106,'ETAPA OBRA'!$B:$B,0))="x",'ETAPA OBRA'!K$1&amp;", ","")&amp;
IF(INDEX('ETAPA OBRA'!L:L,MATCH($B106,'ETAPA OBRA'!$B:$B,0))="x",'ETAPA OBRA'!L$1&amp;", ","")&amp;
IF(INDEX('ETAPA OBRA'!M:M,MATCH($B106,'ETAPA OBRA'!$B:$B,0))="x",'ETAPA OBRA'!M$1&amp;", ","")&amp;
IF(INDEX('ETAPA OBRA'!N:N,MATCH($B106,'ETAPA OBRA'!$B:$B,0))="x",'ETAPA OBRA'!N$1&amp;", ","")&amp;
IF(INDEX('ETAPA OBRA'!O:O,MATCH($B106,'ETAPA OBRA'!$B:$B,0))="x",'ETAPA OBRA'!O$1&amp;", ","")&amp;
IF(INDEX('ETAPA OBRA'!P:P,MATCH($B106,'ETAPA OBRA'!$B:$B,0))="x",'ETAPA OBRA'!P$1&amp;", ","")&amp;
IF(INDEX('ETAPA OBRA'!Q:Q,MATCH($B106,'ETAPA OBRA'!$B:$B,0))="x",'ETAPA OBRA'!Q$1&amp;", ","")&amp;
IF(INDEX('ETAPA OBRA'!R:R,MATCH($B106,'ETAPA OBRA'!$B:$B,0))="x",'ETAPA OBRA'!R$1&amp;", ","")&amp;
IF(INDEX('ETAPA OBRA'!S:S,MATCH($B106,'ETAPA OBRA'!$B:$B,0))="x",'ETAPA OBRA'!S$1&amp;", ","")&amp;
IF(INDEX('ETAPA OBRA'!T:T,MATCH($B106,'ETAPA OBRA'!$B:$B,0))="x",'ETAPA OBRA'!T$1&amp;", ","")&amp;
IF(INDEX('ETAPA OBRA'!U:U,MATCH($B106,'ETAPA OBRA'!$B:$B,0))="x",'ETAPA OBRA'!U$1&amp;", ",""),LEN(
IF(INDEX('ETAPA OBRA'!C:C,MATCH($B106,'ETAPA OBRA'!$B:$B,0))="x",'ETAPA OBRA'!C$1&amp;", ","")&amp;
IF(INDEX('ETAPA OBRA'!D:D,MATCH($B106,'ETAPA OBRA'!$B:$B,0))="x",'ETAPA OBRA'!D$1&amp;", ","")&amp;
IF(INDEX('ETAPA OBRA'!F:F,MATCH($B106,'ETAPA OBRA'!$B:$B,0))="x",'ETAPA OBRA'!F$1&amp;", ","")&amp;
IF(INDEX('ETAPA OBRA'!G:G,MATCH($B106,'ETAPA OBRA'!$B:$B,0))="x",'ETAPA OBRA'!G$1&amp;", ","")&amp;
IF(INDEX('ETAPA OBRA'!H:H,MATCH($B106,'ETAPA OBRA'!$B:$B,0))="x",'ETAPA OBRA'!H$1&amp;", ","")&amp;
IF(INDEX('ETAPA OBRA'!I:I,MATCH($B106,'ETAPA OBRA'!$B:$B,0))="x",'ETAPA OBRA'!I$1&amp;", ","")&amp;
IF(INDEX('ETAPA OBRA'!J:J,MATCH($B106,'ETAPA OBRA'!$B:$B,0))="x",'ETAPA OBRA'!J$1&amp;", ","")&amp;
IF(INDEX('ETAPA OBRA'!K:K,MATCH($B106,'ETAPA OBRA'!$B:$B,0))="x",'ETAPA OBRA'!K$1&amp;", ","")&amp;
IF(INDEX('ETAPA OBRA'!L:L,MATCH($B106,'ETAPA OBRA'!$B:$B,0))="x",'ETAPA OBRA'!L$1&amp;", ","")&amp;
IF(INDEX('ETAPA OBRA'!M:M,MATCH($B106,'ETAPA OBRA'!$B:$B,0))="x",'ETAPA OBRA'!M$1&amp;", ","")&amp;
IF(INDEX('ETAPA OBRA'!N:N,MATCH($B106,'ETAPA OBRA'!$B:$B,0))="x",'ETAPA OBRA'!N$1&amp;", ","")&amp;
IF(INDEX('ETAPA OBRA'!O:O,MATCH($B106,'ETAPA OBRA'!$B:$B,0))="x",'ETAPA OBRA'!O$1&amp;", ","")&amp;
IF(INDEX('ETAPA OBRA'!P:P,MATCH($B106,'ETAPA OBRA'!$B:$B,0))="x",'ETAPA OBRA'!P$1&amp;", ","")&amp;
IF(INDEX('ETAPA OBRA'!Q:Q,MATCH($B106,'ETAPA OBRA'!$B:$B,0))="x",'ETAPA OBRA'!Q$1&amp;", ","")&amp;
IF(INDEX('ETAPA OBRA'!R:R,MATCH($B106,'ETAPA OBRA'!$B:$B,0))="x",'ETAPA OBRA'!R$1&amp;", ","")&amp;
IF(INDEX('ETAPA OBRA'!S:S,MATCH($B106,'ETAPA OBRA'!$B:$B,0))="x",'ETAPA OBRA'!S$1&amp;", ","")&amp;
IF(INDEX('ETAPA OBRA'!T:T,MATCH($B106,'ETAPA OBRA'!$B:$B,0))="x",'ETAPA OBRA'!T$1&amp;", ","")&amp;
IF(INDEX('ETAPA OBRA'!U:U,MATCH($B106,'ETAPA OBRA'!$B:$B,0))="x",'ETAPA OBRA'!U$1&amp;", ","")
)-2),"")</f>
        <v>Finalizado</v>
      </c>
      <c r="N106" s="23" t="str">
        <f t="shared" si="14"/>
        <v>Finalizado</v>
      </c>
      <c r="O106" s="28">
        <v>0</v>
      </c>
      <c r="P106" s="37">
        <f t="shared" si="10"/>
        <v>250</v>
      </c>
      <c r="Q106" s="28">
        <f t="shared" si="15"/>
        <v>-250</v>
      </c>
      <c r="R106" s="29">
        <f t="shared" si="16"/>
        <v>0</v>
      </c>
      <c r="S106" s="23" t="str">
        <f t="shared" si="17"/>
        <v>⚠️ Ajustar Custos (&lt;20%)</v>
      </c>
      <c r="T106" s="23" t="str">
        <f>Cronograma[[#This Row],[STATUS]]</f>
        <v>✅ CONCLUÍDO</v>
      </c>
    </row>
    <row r="107" spans="1:20" ht="15" customHeight="1" x14ac:dyDescent="0.3">
      <c r="A107" s="23" t="s">
        <v>332</v>
      </c>
      <c r="B107" s="23" t="str">
        <f>IF(A107&lt;&gt;"","contel-"&amp;TEXT(COUNTA($A$2:A107),"00"),"")</f>
        <v>contel-106</v>
      </c>
      <c r="C107" s="23" t="s">
        <v>78</v>
      </c>
      <c r="D107" s="23" t="s">
        <v>333</v>
      </c>
      <c r="E107" s="23" t="s">
        <v>188</v>
      </c>
      <c r="F107" s="52" t="s">
        <v>334</v>
      </c>
      <c r="G107" s="23">
        <v>399</v>
      </c>
      <c r="H107" s="30">
        <v>26973</v>
      </c>
      <c r="I107" s="23" t="s">
        <v>25</v>
      </c>
      <c r="J107" s="25">
        <f>SUM(EQUIPE!C107,EQUIPE!E107,EQUIPE!G107,EQUIPE!I107,EQUIPE!K107,EQUIPE!M107,EQUIPE!O107)</f>
        <v>0</v>
      </c>
      <c r="K107" s="25">
        <v>0</v>
      </c>
      <c r="L107" s="25">
        <v>0</v>
      </c>
      <c r="M107" s="27" t="str">
        <f>IFERROR(LEFT(
IF(INDEX('ETAPA OBRA'!C:C,MATCH($B107,'ETAPA OBRA'!$B:$B,0))="x",'ETAPA OBRA'!C$1&amp;", ","")&amp;
IF(INDEX('ETAPA OBRA'!D:D,MATCH($B107,'ETAPA OBRA'!$B:$B,0))="x",'ETAPA OBRA'!D$1&amp;", ","")&amp;
IF(INDEX('ETAPA OBRA'!F:F,MATCH($B107,'ETAPA OBRA'!$B:$B,0))="x",'ETAPA OBRA'!F$1&amp;", ","")&amp;
IF(INDEX('ETAPA OBRA'!G:G,MATCH($B107,'ETAPA OBRA'!$B:$B,0))="x",'ETAPA OBRA'!G$1&amp;", ","")&amp;
IF(INDEX('ETAPA OBRA'!H:H,MATCH($B107,'ETAPA OBRA'!$B:$B,0))="x",'ETAPA OBRA'!H$1&amp;", ","")&amp;
IF(INDEX('ETAPA OBRA'!I:I,MATCH($B107,'ETAPA OBRA'!$B:$B,0))="x",'ETAPA OBRA'!I$1&amp;", ","")&amp;
IF(INDEX('ETAPA OBRA'!J:J,MATCH($B107,'ETAPA OBRA'!$B:$B,0))="x",'ETAPA OBRA'!J$1&amp;", ","")&amp;
IF(INDEX('ETAPA OBRA'!K:K,MATCH($B107,'ETAPA OBRA'!$B:$B,0))="x",'ETAPA OBRA'!K$1&amp;", ","")&amp;
IF(INDEX('ETAPA OBRA'!L:L,MATCH($B107,'ETAPA OBRA'!$B:$B,0))="x",'ETAPA OBRA'!L$1&amp;", ","")&amp;
IF(INDEX('ETAPA OBRA'!M:M,MATCH($B107,'ETAPA OBRA'!$B:$B,0))="x",'ETAPA OBRA'!M$1&amp;", ","")&amp;
IF(INDEX('ETAPA OBRA'!N:N,MATCH($B107,'ETAPA OBRA'!$B:$B,0))="x",'ETAPA OBRA'!N$1&amp;", ","")&amp;
IF(INDEX('ETAPA OBRA'!O:O,MATCH($B107,'ETAPA OBRA'!$B:$B,0))="x",'ETAPA OBRA'!O$1&amp;", ","")&amp;
IF(INDEX('ETAPA OBRA'!P:P,MATCH($B107,'ETAPA OBRA'!$B:$B,0))="x",'ETAPA OBRA'!P$1&amp;", ","")&amp;
IF(INDEX('ETAPA OBRA'!Q:Q,MATCH($B107,'ETAPA OBRA'!$B:$B,0))="x",'ETAPA OBRA'!Q$1&amp;", ","")&amp;
IF(INDEX('ETAPA OBRA'!R:R,MATCH($B107,'ETAPA OBRA'!$B:$B,0))="x",'ETAPA OBRA'!R$1&amp;", ","")&amp;
IF(INDEX('ETAPA OBRA'!S:S,MATCH($B107,'ETAPA OBRA'!$B:$B,0))="x",'ETAPA OBRA'!S$1&amp;", ","")&amp;
IF(INDEX('ETAPA OBRA'!T:T,MATCH($B107,'ETAPA OBRA'!$B:$B,0))="x",'ETAPA OBRA'!T$1&amp;", ","")&amp;
IF(INDEX('ETAPA OBRA'!U:U,MATCH($B107,'ETAPA OBRA'!$B:$B,0))="x",'ETAPA OBRA'!U$1&amp;", ",""),LEN(
IF(INDEX('ETAPA OBRA'!C:C,MATCH($B107,'ETAPA OBRA'!$B:$B,0))="x",'ETAPA OBRA'!C$1&amp;", ","")&amp;
IF(INDEX('ETAPA OBRA'!D:D,MATCH($B107,'ETAPA OBRA'!$B:$B,0))="x",'ETAPA OBRA'!D$1&amp;", ","")&amp;
IF(INDEX('ETAPA OBRA'!F:F,MATCH($B107,'ETAPA OBRA'!$B:$B,0))="x",'ETAPA OBRA'!F$1&amp;", ","")&amp;
IF(INDEX('ETAPA OBRA'!G:G,MATCH($B107,'ETAPA OBRA'!$B:$B,0))="x",'ETAPA OBRA'!G$1&amp;", ","")&amp;
IF(INDEX('ETAPA OBRA'!H:H,MATCH($B107,'ETAPA OBRA'!$B:$B,0))="x",'ETAPA OBRA'!H$1&amp;", ","")&amp;
IF(INDEX('ETAPA OBRA'!I:I,MATCH($B107,'ETAPA OBRA'!$B:$B,0))="x",'ETAPA OBRA'!I$1&amp;", ","")&amp;
IF(INDEX('ETAPA OBRA'!J:J,MATCH($B107,'ETAPA OBRA'!$B:$B,0))="x",'ETAPA OBRA'!J$1&amp;", ","")&amp;
IF(INDEX('ETAPA OBRA'!K:K,MATCH($B107,'ETAPA OBRA'!$B:$B,0))="x",'ETAPA OBRA'!K$1&amp;", ","")&amp;
IF(INDEX('ETAPA OBRA'!L:L,MATCH($B107,'ETAPA OBRA'!$B:$B,0))="x",'ETAPA OBRA'!L$1&amp;", ","")&amp;
IF(INDEX('ETAPA OBRA'!M:M,MATCH($B107,'ETAPA OBRA'!$B:$B,0))="x",'ETAPA OBRA'!M$1&amp;", ","")&amp;
IF(INDEX('ETAPA OBRA'!N:N,MATCH($B107,'ETAPA OBRA'!$B:$B,0))="x",'ETAPA OBRA'!N$1&amp;", ","")&amp;
IF(INDEX('ETAPA OBRA'!O:O,MATCH($B107,'ETAPA OBRA'!$B:$B,0))="x",'ETAPA OBRA'!O$1&amp;", ","")&amp;
IF(INDEX('ETAPA OBRA'!P:P,MATCH($B107,'ETAPA OBRA'!$B:$B,0))="x",'ETAPA OBRA'!P$1&amp;", ","")&amp;
IF(INDEX('ETAPA OBRA'!Q:Q,MATCH($B107,'ETAPA OBRA'!$B:$B,0))="x",'ETAPA OBRA'!Q$1&amp;", ","")&amp;
IF(INDEX('ETAPA OBRA'!R:R,MATCH($B107,'ETAPA OBRA'!$B:$B,0))="x",'ETAPA OBRA'!R$1&amp;", ","")&amp;
IF(INDEX('ETAPA OBRA'!S:S,MATCH($B107,'ETAPA OBRA'!$B:$B,0))="x",'ETAPA OBRA'!S$1&amp;", ","")&amp;
IF(INDEX('ETAPA OBRA'!T:T,MATCH($B107,'ETAPA OBRA'!$B:$B,0))="x",'ETAPA OBRA'!T$1&amp;", ","")&amp;
IF(INDEX('ETAPA OBRA'!U:U,MATCH($B107,'ETAPA OBRA'!$B:$B,0))="x",'ETAPA OBRA'!U$1&amp;", ","")
)-2),"")</f>
        <v>Finalizado</v>
      </c>
      <c r="N107" s="23" t="str">
        <f t="shared" si="14"/>
        <v>Finalizado</v>
      </c>
      <c r="O107" s="28">
        <v>2859.5</v>
      </c>
      <c r="P107" s="37">
        <f t="shared" si="10"/>
        <v>0</v>
      </c>
      <c r="Q107" s="28">
        <f t="shared" si="15"/>
        <v>2859.5</v>
      </c>
      <c r="R107" s="29">
        <f t="shared" si="16"/>
        <v>1</v>
      </c>
      <c r="S107" s="23" t="str">
        <f t="shared" si="17"/>
        <v>✅ OK - Fechar Parceiro</v>
      </c>
      <c r="T107" s="23" t="str">
        <f>Cronograma[[#This Row],[STATUS]]</f>
        <v>✅ CONCLUÍDO</v>
      </c>
    </row>
    <row r="108" spans="1:20" ht="15" customHeight="1" x14ac:dyDescent="0.3">
      <c r="A108" s="23" t="s">
        <v>335</v>
      </c>
      <c r="B108" s="23" t="str">
        <f>IF(A108&lt;&gt;"","contel-"&amp;TEXT(COUNTA($A$2:A108),"00"),"")</f>
        <v>contel-107</v>
      </c>
      <c r="C108" s="23" t="s">
        <v>120</v>
      </c>
      <c r="D108" s="23" t="s">
        <v>336</v>
      </c>
      <c r="E108" s="23" t="s">
        <v>309</v>
      </c>
      <c r="F108" s="52" t="s">
        <v>337</v>
      </c>
      <c r="G108" s="23">
        <v>1746</v>
      </c>
      <c r="H108" s="30">
        <v>16004</v>
      </c>
      <c r="I108" s="23" t="s">
        <v>297</v>
      </c>
      <c r="J108" s="25">
        <f>SUM(EQUIPE!C108,EQUIPE!E108,EQUIPE!G108,EQUIPE!I108,EQUIPE!K108,EQUIPE!M108,EQUIPE!O108)</f>
        <v>19200</v>
      </c>
      <c r="K108" s="25">
        <v>0</v>
      </c>
      <c r="L108" s="25">
        <v>0</v>
      </c>
      <c r="M108" s="27" t="str">
        <f ca="1">IFERROR(LEFT(
IF(INDEX('ETAPA OBRA'!C:C,MATCH($B108,'ETAPA OBRA'!$B:$B,0))="x",'ETAPA OBRA'!C$1&amp;", ","")&amp;
IF(INDEX('ETAPA OBRA'!D:D,MATCH($B108,'ETAPA OBRA'!$B:$B,0))="x",'ETAPA OBRA'!D$1&amp;", ","")&amp;
IF(INDEX('ETAPA OBRA'!F:F,MATCH($B108,'ETAPA OBRA'!$B:$B,0))="x",'ETAPA OBRA'!F$1&amp;", ","")&amp;
IF(INDEX('ETAPA OBRA'!G:G,MATCH($B108,'ETAPA OBRA'!$B:$B,0))="x",'ETAPA OBRA'!G$1&amp;", ","")&amp;
IF(INDEX('ETAPA OBRA'!H:H,MATCH($B108,'ETAPA OBRA'!$B:$B,0))="x",'ETAPA OBRA'!H$1&amp;", ","")&amp;
IF(INDEX('ETAPA OBRA'!I:I,MATCH($B108,'ETAPA OBRA'!$B:$B,0))="x",'ETAPA OBRA'!I$1&amp;", ","")&amp;
IF(INDEX('ETAPA OBRA'!J:J,MATCH($B108,'ETAPA OBRA'!$B:$B,0))="x",'ETAPA OBRA'!J$1&amp;", ","")&amp;
IF(INDEX('ETAPA OBRA'!K:K,MATCH($B108,'ETAPA OBRA'!$B:$B,0))="x",'ETAPA OBRA'!K$1&amp;", ","")&amp;
IF(INDEX('ETAPA OBRA'!L:L,MATCH($B108,'ETAPA OBRA'!$B:$B,0))="x",'ETAPA OBRA'!L$1&amp;", ","")&amp;
IF(INDEX('ETAPA OBRA'!M:M,MATCH($B108,'ETAPA OBRA'!$B:$B,0))="x",'ETAPA OBRA'!M$1&amp;", ","")&amp;
IF(INDEX('ETAPA OBRA'!N:N,MATCH($B108,'ETAPA OBRA'!$B:$B,0))="x",'ETAPA OBRA'!N$1&amp;", ","")&amp;
IF(INDEX('ETAPA OBRA'!O:O,MATCH($B108,'ETAPA OBRA'!$B:$B,0))="x",'ETAPA OBRA'!O$1&amp;", ","")&amp;
IF(INDEX('ETAPA OBRA'!P:P,MATCH($B108,'ETAPA OBRA'!$B:$B,0))="x",'ETAPA OBRA'!P$1&amp;", ","")&amp;
IF(INDEX('ETAPA OBRA'!Q:Q,MATCH($B108,'ETAPA OBRA'!$B:$B,0))="x",'ETAPA OBRA'!Q$1&amp;", ","")&amp;
IF(INDEX('ETAPA OBRA'!R:R,MATCH($B108,'ETAPA OBRA'!$B:$B,0))="x",'ETAPA OBRA'!R$1&amp;", ","")&amp;
IF(INDEX('ETAPA OBRA'!S:S,MATCH($B108,'ETAPA OBRA'!$B:$B,0))="x",'ETAPA OBRA'!S$1&amp;", ","")&amp;
IF(INDEX('ETAPA OBRA'!T:T,MATCH($B108,'ETAPA OBRA'!$B:$B,0))="x",'ETAPA OBRA'!T$1&amp;", ","")&amp;
IF(INDEX('ETAPA OBRA'!U:U,MATCH($B108,'ETAPA OBRA'!$B:$B,0))="x",'ETAPA OBRA'!U$1&amp;", ",""),LEN(
IF(INDEX('ETAPA OBRA'!C:C,MATCH($B108,'ETAPA OBRA'!$B:$B,0))="x",'ETAPA OBRA'!C$1&amp;", ","")&amp;
IF(INDEX('ETAPA OBRA'!D:D,MATCH($B108,'ETAPA OBRA'!$B:$B,0))="x",'ETAPA OBRA'!D$1&amp;", ","")&amp;
IF(INDEX('ETAPA OBRA'!F:F,MATCH($B108,'ETAPA OBRA'!$B:$B,0))="x",'ETAPA OBRA'!F$1&amp;", ","")&amp;
IF(INDEX('ETAPA OBRA'!G:G,MATCH($B108,'ETAPA OBRA'!$B:$B,0))="x",'ETAPA OBRA'!G$1&amp;", ","")&amp;
IF(INDEX('ETAPA OBRA'!H:H,MATCH($B108,'ETAPA OBRA'!$B:$B,0))="x",'ETAPA OBRA'!H$1&amp;", ","")&amp;
IF(INDEX('ETAPA OBRA'!I:I,MATCH($B108,'ETAPA OBRA'!$B:$B,0))="x",'ETAPA OBRA'!I$1&amp;", ","")&amp;
IF(INDEX('ETAPA OBRA'!J:J,MATCH($B108,'ETAPA OBRA'!$B:$B,0))="x",'ETAPA OBRA'!J$1&amp;", ","")&amp;
IF(INDEX('ETAPA OBRA'!K:K,MATCH($B108,'ETAPA OBRA'!$B:$B,0))="x",'ETAPA OBRA'!K$1&amp;", ","")&amp;
IF(INDEX('ETAPA OBRA'!L:L,MATCH($B108,'ETAPA OBRA'!$B:$B,0))="x",'ETAPA OBRA'!L$1&amp;", ","")&amp;
IF(INDEX('ETAPA OBRA'!M:M,MATCH($B108,'ETAPA OBRA'!$B:$B,0))="x",'ETAPA OBRA'!M$1&amp;", ","")&amp;
IF(INDEX('ETAPA OBRA'!N:N,MATCH($B108,'ETAPA OBRA'!$B:$B,0))="x",'ETAPA OBRA'!N$1&amp;", ","")&amp;
IF(INDEX('ETAPA OBRA'!O:O,MATCH($B108,'ETAPA OBRA'!$B:$B,0))="x",'ETAPA OBRA'!O$1&amp;", ","")&amp;
IF(INDEX('ETAPA OBRA'!P:P,MATCH($B108,'ETAPA OBRA'!$B:$B,0))="x",'ETAPA OBRA'!P$1&amp;", ","")&amp;
IF(INDEX('ETAPA OBRA'!Q:Q,MATCH($B108,'ETAPA OBRA'!$B:$B,0))="x",'ETAPA OBRA'!Q$1&amp;", ","")&amp;
IF(INDEX('ETAPA OBRA'!R:R,MATCH($B108,'ETAPA OBRA'!$B:$B,0))="x",'ETAPA OBRA'!R$1&amp;", ","")&amp;
IF(INDEX('ETAPA OBRA'!S:S,MATCH($B108,'ETAPA OBRA'!$B:$B,0))="x",'ETAPA OBRA'!S$1&amp;", ","")&amp;
IF(INDEX('ETAPA OBRA'!T:T,MATCH($B108,'ETAPA OBRA'!$B:$B,0))="x",'ETAPA OBRA'!T$1&amp;", ","")&amp;
IF(INDEX('ETAPA OBRA'!U:U,MATCH($B108,'ETAPA OBRA'!$B:$B,0))="x",'ETAPA OBRA'!U$1&amp;", ","")
)-2),"")</f>
        <v>Compra de material, Fabricação / Galvanização</v>
      </c>
      <c r="N108" s="23" t="str">
        <f t="shared" ca="1" si="14"/>
        <v>Em andamento</v>
      </c>
      <c r="O108" s="28">
        <v>89701.43</v>
      </c>
      <c r="P108" s="37">
        <f t="shared" si="10"/>
        <v>19200</v>
      </c>
      <c r="Q108" s="28">
        <f t="shared" si="15"/>
        <v>70501.429999999993</v>
      </c>
      <c r="R108" s="29">
        <f t="shared" si="16"/>
        <v>0.78595658954377867</v>
      </c>
      <c r="S108" s="23" t="str">
        <f t="shared" si="17"/>
        <v>✅ OK - Fechar Parceiro</v>
      </c>
      <c r="T108" s="23" t="str">
        <f ca="1">Cronograma[[#This Row],[STATUS]]</f>
        <v>🕓 EM ANDAMENTO</v>
      </c>
    </row>
    <row r="109" spans="1:20" ht="15" customHeight="1" x14ac:dyDescent="0.3">
      <c r="A109" s="23" t="s">
        <v>338</v>
      </c>
      <c r="B109" s="23" t="str">
        <f>IF(A109&lt;&gt;"","contel-"&amp;TEXT(COUNTA($A$2:A109),"00"),"")</f>
        <v>contel-108</v>
      </c>
      <c r="C109" s="23" t="s">
        <v>120</v>
      </c>
      <c r="D109" s="23" t="s">
        <v>96</v>
      </c>
      <c r="E109" s="23" t="s">
        <v>97</v>
      </c>
      <c r="F109" s="52" t="s">
        <v>339</v>
      </c>
      <c r="G109" s="23">
        <v>1808</v>
      </c>
      <c r="H109" s="33">
        <v>26979</v>
      </c>
      <c r="I109" s="23" t="s">
        <v>297</v>
      </c>
      <c r="J109" s="25">
        <f>SUM(EQUIPE!C109,EQUIPE!E109,EQUIPE!G109,EQUIPE!I109,EQUIPE!K109,EQUIPE!M109,EQUIPE!O109)</f>
        <v>7800</v>
      </c>
      <c r="K109" s="25">
        <v>0</v>
      </c>
      <c r="L109" s="25">
        <v>0</v>
      </c>
      <c r="M109" s="27" t="str">
        <f ca="1">IFERROR(LEFT(
IF(INDEX('ETAPA OBRA'!C:C,MATCH($B109,'ETAPA OBRA'!$B:$B,0))="x",'ETAPA OBRA'!C$1&amp;", ","")&amp;
IF(INDEX('ETAPA OBRA'!D:D,MATCH($B109,'ETAPA OBRA'!$B:$B,0))="x",'ETAPA OBRA'!D$1&amp;", ","")&amp;
IF(INDEX('ETAPA OBRA'!F:F,MATCH($B109,'ETAPA OBRA'!$B:$B,0))="x",'ETAPA OBRA'!F$1&amp;", ","")&amp;
IF(INDEX('ETAPA OBRA'!G:G,MATCH($B109,'ETAPA OBRA'!$B:$B,0))="x",'ETAPA OBRA'!G$1&amp;", ","")&amp;
IF(INDEX('ETAPA OBRA'!H:H,MATCH($B109,'ETAPA OBRA'!$B:$B,0))="x",'ETAPA OBRA'!H$1&amp;", ","")&amp;
IF(INDEX('ETAPA OBRA'!I:I,MATCH($B109,'ETAPA OBRA'!$B:$B,0))="x",'ETAPA OBRA'!I$1&amp;", ","")&amp;
IF(INDEX('ETAPA OBRA'!J:J,MATCH($B109,'ETAPA OBRA'!$B:$B,0))="x",'ETAPA OBRA'!J$1&amp;", ","")&amp;
IF(INDEX('ETAPA OBRA'!K:K,MATCH($B109,'ETAPA OBRA'!$B:$B,0))="x",'ETAPA OBRA'!K$1&amp;", ","")&amp;
IF(INDEX('ETAPA OBRA'!L:L,MATCH($B109,'ETAPA OBRA'!$B:$B,0))="x",'ETAPA OBRA'!L$1&amp;", ","")&amp;
IF(INDEX('ETAPA OBRA'!M:M,MATCH($B109,'ETAPA OBRA'!$B:$B,0))="x",'ETAPA OBRA'!M$1&amp;", ","")&amp;
IF(INDEX('ETAPA OBRA'!N:N,MATCH($B109,'ETAPA OBRA'!$B:$B,0))="x",'ETAPA OBRA'!N$1&amp;", ","")&amp;
IF(INDEX('ETAPA OBRA'!O:O,MATCH($B109,'ETAPA OBRA'!$B:$B,0))="x",'ETAPA OBRA'!O$1&amp;", ","")&amp;
IF(INDEX('ETAPA OBRA'!P:P,MATCH($B109,'ETAPA OBRA'!$B:$B,0))="x",'ETAPA OBRA'!P$1&amp;", ","")&amp;
IF(INDEX('ETAPA OBRA'!Q:Q,MATCH($B109,'ETAPA OBRA'!$B:$B,0))="x",'ETAPA OBRA'!Q$1&amp;", ","")&amp;
IF(INDEX('ETAPA OBRA'!R:R,MATCH($B109,'ETAPA OBRA'!$B:$B,0))="x",'ETAPA OBRA'!R$1&amp;", ","")&amp;
IF(INDEX('ETAPA OBRA'!S:S,MATCH($B109,'ETAPA OBRA'!$B:$B,0))="x",'ETAPA OBRA'!S$1&amp;", ","")&amp;
IF(INDEX('ETAPA OBRA'!T:T,MATCH($B109,'ETAPA OBRA'!$B:$B,0))="x",'ETAPA OBRA'!T$1&amp;", ","")&amp;
IF(INDEX('ETAPA OBRA'!U:U,MATCH($B109,'ETAPA OBRA'!$B:$B,0))="x",'ETAPA OBRA'!U$1&amp;", ",""),LEN(
IF(INDEX('ETAPA OBRA'!C:C,MATCH($B109,'ETAPA OBRA'!$B:$B,0))="x",'ETAPA OBRA'!C$1&amp;", ","")&amp;
IF(INDEX('ETAPA OBRA'!D:D,MATCH($B109,'ETAPA OBRA'!$B:$B,0))="x",'ETAPA OBRA'!D$1&amp;", ","")&amp;
IF(INDEX('ETAPA OBRA'!F:F,MATCH($B109,'ETAPA OBRA'!$B:$B,0))="x",'ETAPA OBRA'!F$1&amp;", ","")&amp;
IF(INDEX('ETAPA OBRA'!G:G,MATCH($B109,'ETAPA OBRA'!$B:$B,0))="x",'ETAPA OBRA'!G$1&amp;", ","")&amp;
IF(INDEX('ETAPA OBRA'!H:H,MATCH($B109,'ETAPA OBRA'!$B:$B,0))="x",'ETAPA OBRA'!H$1&amp;", ","")&amp;
IF(INDEX('ETAPA OBRA'!I:I,MATCH($B109,'ETAPA OBRA'!$B:$B,0))="x",'ETAPA OBRA'!I$1&amp;", ","")&amp;
IF(INDEX('ETAPA OBRA'!J:J,MATCH($B109,'ETAPA OBRA'!$B:$B,0))="x",'ETAPA OBRA'!J$1&amp;", ","")&amp;
IF(INDEX('ETAPA OBRA'!K:K,MATCH($B109,'ETAPA OBRA'!$B:$B,0))="x",'ETAPA OBRA'!K$1&amp;", ","")&amp;
IF(INDEX('ETAPA OBRA'!L:L,MATCH($B109,'ETAPA OBRA'!$B:$B,0))="x",'ETAPA OBRA'!L$1&amp;", ","")&amp;
IF(INDEX('ETAPA OBRA'!M:M,MATCH($B109,'ETAPA OBRA'!$B:$B,0))="x",'ETAPA OBRA'!M$1&amp;", ","")&amp;
IF(INDEX('ETAPA OBRA'!N:N,MATCH($B109,'ETAPA OBRA'!$B:$B,0))="x",'ETAPA OBRA'!N$1&amp;", ","")&amp;
IF(INDEX('ETAPA OBRA'!O:O,MATCH($B109,'ETAPA OBRA'!$B:$B,0))="x",'ETAPA OBRA'!O$1&amp;", ","")&amp;
IF(INDEX('ETAPA OBRA'!P:P,MATCH($B109,'ETAPA OBRA'!$B:$B,0))="x",'ETAPA OBRA'!P$1&amp;", ","")&amp;
IF(INDEX('ETAPA OBRA'!Q:Q,MATCH($B109,'ETAPA OBRA'!$B:$B,0))="x",'ETAPA OBRA'!Q$1&amp;", ","")&amp;
IF(INDEX('ETAPA OBRA'!R:R,MATCH($B109,'ETAPA OBRA'!$B:$B,0))="x",'ETAPA OBRA'!R$1&amp;", ","")&amp;
IF(INDEX('ETAPA OBRA'!S:S,MATCH($B109,'ETAPA OBRA'!$B:$B,0))="x",'ETAPA OBRA'!S$1&amp;", ","")&amp;
IF(INDEX('ETAPA OBRA'!T:T,MATCH($B109,'ETAPA OBRA'!$B:$B,0))="x",'ETAPA OBRA'!T$1&amp;", ","")&amp;
IF(INDEX('ETAPA OBRA'!U:U,MATCH($B109,'ETAPA OBRA'!$B:$B,0))="x",'ETAPA OBRA'!U$1&amp;", ","")
)-2),"")</f>
        <v>Compra de material, Fabricação / Galvanização</v>
      </c>
      <c r="N109" s="23" t="str">
        <f t="shared" ca="1" si="14"/>
        <v>Em andamento</v>
      </c>
      <c r="O109" s="28">
        <v>76767.45</v>
      </c>
      <c r="P109" s="37">
        <f t="shared" si="10"/>
        <v>7800</v>
      </c>
      <c r="Q109" s="28">
        <f t="shared" si="15"/>
        <v>68967.45</v>
      </c>
      <c r="R109" s="29">
        <f t="shared" si="16"/>
        <v>0.89839443670461894</v>
      </c>
      <c r="S109" s="23" t="str">
        <f t="shared" si="17"/>
        <v>✅ OK - Fechar Parceiro</v>
      </c>
      <c r="T109" s="23" t="str">
        <f ca="1">Cronograma[[#This Row],[STATUS]]</f>
        <v>🕓 EM ANDAMENTO</v>
      </c>
    </row>
    <row r="110" spans="1:20" ht="15" customHeight="1" x14ac:dyDescent="0.3">
      <c r="A110" s="23" t="s">
        <v>340</v>
      </c>
      <c r="B110" s="23" t="str">
        <f>IF(A110&lt;&gt;"","contel-"&amp;TEXT(COUNTA($A$2:A110),"00"),"")</f>
        <v>contel-109</v>
      </c>
      <c r="C110" s="23" t="s">
        <v>120</v>
      </c>
      <c r="D110" s="23" t="s">
        <v>341</v>
      </c>
      <c r="E110" s="23" t="s">
        <v>309</v>
      </c>
      <c r="F110" s="52" t="s">
        <v>342</v>
      </c>
      <c r="G110" s="23">
        <v>1717</v>
      </c>
      <c r="H110" s="30">
        <v>3807</v>
      </c>
      <c r="I110" s="23" t="s">
        <v>297</v>
      </c>
      <c r="J110" s="25">
        <f>SUM(EQUIPE!C110,EQUIPE!E110,EQUIPE!G110,EQUIPE!I110,EQUIPE!K110,EQUIPE!M110,EQUIPE!O110)</f>
        <v>0</v>
      </c>
      <c r="K110" s="25">
        <v>0</v>
      </c>
      <c r="L110" s="25">
        <v>0</v>
      </c>
      <c r="M110" s="27" t="str">
        <f ca="1">IFERROR(LEFT(
IF(INDEX('ETAPA OBRA'!C:C,MATCH($B110,'ETAPA OBRA'!$B:$B,0))="x",'ETAPA OBRA'!C$1&amp;", ","")&amp;
IF(INDEX('ETAPA OBRA'!D:D,MATCH($B110,'ETAPA OBRA'!$B:$B,0))="x",'ETAPA OBRA'!D$1&amp;", ","")&amp;
IF(INDEX('ETAPA OBRA'!F:F,MATCH($B110,'ETAPA OBRA'!$B:$B,0))="x",'ETAPA OBRA'!F$1&amp;", ","")&amp;
IF(INDEX('ETAPA OBRA'!G:G,MATCH($B110,'ETAPA OBRA'!$B:$B,0))="x",'ETAPA OBRA'!G$1&amp;", ","")&amp;
IF(INDEX('ETAPA OBRA'!H:H,MATCH($B110,'ETAPA OBRA'!$B:$B,0))="x",'ETAPA OBRA'!H$1&amp;", ","")&amp;
IF(INDEX('ETAPA OBRA'!I:I,MATCH($B110,'ETAPA OBRA'!$B:$B,0))="x",'ETAPA OBRA'!I$1&amp;", ","")&amp;
IF(INDEX('ETAPA OBRA'!J:J,MATCH($B110,'ETAPA OBRA'!$B:$B,0))="x",'ETAPA OBRA'!J$1&amp;", ","")&amp;
IF(INDEX('ETAPA OBRA'!K:K,MATCH($B110,'ETAPA OBRA'!$B:$B,0))="x",'ETAPA OBRA'!K$1&amp;", ","")&amp;
IF(INDEX('ETAPA OBRA'!L:L,MATCH($B110,'ETAPA OBRA'!$B:$B,0))="x",'ETAPA OBRA'!L$1&amp;", ","")&amp;
IF(INDEX('ETAPA OBRA'!M:M,MATCH($B110,'ETAPA OBRA'!$B:$B,0))="x",'ETAPA OBRA'!M$1&amp;", ","")&amp;
IF(INDEX('ETAPA OBRA'!N:N,MATCH($B110,'ETAPA OBRA'!$B:$B,0))="x",'ETAPA OBRA'!N$1&amp;", ","")&amp;
IF(INDEX('ETAPA OBRA'!O:O,MATCH($B110,'ETAPA OBRA'!$B:$B,0))="x",'ETAPA OBRA'!O$1&amp;", ","")&amp;
IF(INDEX('ETAPA OBRA'!P:P,MATCH($B110,'ETAPA OBRA'!$B:$B,0))="x",'ETAPA OBRA'!P$1&amp;", ","")&amp;
IF(INDEX('ETAPA OBRA'!Q:Q,MATCH($B110,'ETAPA OBRA'!$B:$B,0))="x",'ETAPA OBRA'!Q$1&amp;", ","")&amp;
IF(INDEX('ETAPA OBRA'!R:R,MATCH($B110,'ETAPA OBRA'!$B:$B,0))="x",'ETAPA OBRA'!R$1&amp;", ","")&amp;
IF(INDEX('ETAPA OBRA'!S:S,MATCH($B110,'ETAPA OBRA'!$B:$B,0))="x",'ETAPA OBRA'!S$1&amp;", ","")&amp;
IF(INDEX('ETAPA OBRA'!T:T,MATCH($B110,'ETAPA OBRA'!$B:$B,0))="x",'ETAPA OBRA'!T$1&amp;", ","")&amp;
IF(INDEX('ETAPA OBRA'!U:U,MATCH($B110,'ETAPA OBRA'!$B:$B,0))="x",'ETAPA OBRA'!U$1&amp;", ",""),LEN(
IF(INDEX('ETAPA OBRA'!C:C,MATCH($B110,'ETAPA OBRA'!$B:$B,0))="x",'ETAPA OBRA'!C$1&amp;", ","")&amp;
IF(INDEX('ETAPA OBRA'!D:D,MATCH($B110,'ETAPA OBRA'!$B:$B,0))="x",'ETAPA OBRA'!D$1&amp;", ","")&amp;
IF(INDEX('ETAPA OBRA'!F:F,MATCH($B110,'ETAPA OBRA'!$B:$B,0))="x",'ETAPA OBRA'!F$1&amp;", ","")&amp;
IF(INDEX('ETAPA OBRA'!G:G,MATCH($B110,'ETAPA OBRA'!$B:$B,0))="x",'ETAPA OBRA'!G$1&amp;", ","")&amp;
IF(INDEX('ETAPA OBRA'!H:H,MATCH($B110,'ETAPA OBRA'!$B:$B,0))="x",'ETAPA OBRA'!H$1&amp;", ","")&amp;
IF(INDEX('ETAPA OBRA'!I:I,MATCH($B110,'ETAPA OBRA'!$B:$B,0))="x",'ETAPA OBRA'!I$1&amp;", ","")&amp;
IF(INDEX('ETAPA OBRA'!J:J,MATCH($B110,'ETAPA OBRA'!$B:$B,0))="x",'ETAPA OBRA'!J$1&amp;", ","")&amp;
IF(INDEX('ETAPA OBRA'!K:K,MATCH($B110,'ETAPA OBRA'!$B:$B,0))="x",'ETAPA OBRA'!K$1&amp;", ","")&amp;
IF(INDEX('ETAPA OBRA'!L:L,MATCH($B110,'ETAPA OBRA'!$B:$B,0))="x",'ETAPA OBRA'!L$1&amp;", ","")&amp;
IF(INDEX('ETAPA OBRA'!M:M,MATCH($B110,'ETAPA OBRA'!$B:$B,0))="x",'ETAPA OBRA'!M$1&amp;", ","")&amp;
IF(INDEX('ETAPA OBRA'!N:N,MATCH($B110,'ETAPA OBRA'!$B:$B,0))="x",'ETAPA OBRA'!N$1&amp;", ","")&amp;
IF(INDEX('ETAPA OBRA'!O:O,MATCH($B110,'ETAPA OBRA'!$B:$B,0))="x",'ETAPA OBRA'!O$1&amp;", ","")&amp;
IF(INDEX('ETAPA OBRA'!P:P,MATCH($B110,'ETAPA OBRA'!$B:$B,0))="x",'ETAPA OBRA'!P$1&amp;", ","")&amp;
IF(INDEX('ETAPA OBRA'!Q:Q,MATCH($B110,'ETAPA OBRA'!$B:$B,0))="x",'ETAPA OBRA'!Q$1&amp;", ","")&amp;
IF(INDEX('ETAPA OBRA'!R:R,MATCH($B110,'ETAPA OBRA'!$B:$B,0))="x",'ETAPA OBRA'!R$1&amp;", ","")&amp;
IF(INDEX('ETAPA OBRA'!S:S,MATCH($B110,'ETAPA OBRA'!$B:$B,0))="x",'ETAPA OBRA'!S$1&amp;", ","")&amp;
IF(INDEX('ETAPA OBRA'!T:T,MATCH($B110,'ETAPA OBRA'!$B:$B,0))="x",'ETAPA OBRA'!T$1&amp;", ","")&amp;
IF(INDEX('ETAPA OBRA'!U:U,MATCH($B110,'ETAPA OBRA'!$B:$B,0))="x",'ETAPA OBRA'!U$1&amp;", ","")
)-2),"")</f>
        <v>Abertura de obra, Elaboração de cronograma, Compra de material, Fabricação / Galvanização</v>
      </c>
      <c r="N110" s="23" t="str">
        <f t="shared" ca="1" si="14"/>
        <v>Em andamento</v>
      </c>
      <c r="O110" s="28">
        <v>113474.59</v>
      </c>
      <c r="P110" s="37">
        <f t="shared" si="10"/>
        <v>0</v>
      </c>
      <c r="Q110" s="28">
        <f t="shared" si="15"/>
        <v>113474.59</v>
      </c>
      <c r="R110" s="29">
        <f t="shared" si="16"/>
        <v>1</v>
      </c>
      <c r="S110" s="23" t="str">
        <f t="shared" si="17"/>
        <v>✅ OK - Fechar Parceiro</v>
      </c>
      <c r="T110" s="23" t="str">
        <f ca="1">Cronograma[[#This Row],[STATUS]]</f>
        <v>🕓 EM ANDAMENTO</v>
      </c>
    </row>
    <row r="111" spans="1:20" ht="15" customHeight="1" x14ac:dyDescent="0.3">
      <c r="A111" s="23" t="s">
        <v>343</v>
      </c>
      <c r="B111" s="23" t="str">
        <f>IF(A111&lt;&gt;"","contel-"&amp;TEXT(COUNTA($A$2:A111),"00"),"")</f>
        <v>contel-110</v>
      </c>
      <c r="C111" s="23" t="s">
        <v>120</v>
      </c>
      <c r="D111" s="23" t="s">
        <v>344</v>
      </c>
      <c r="E111" s="23" t="s">
        <v>309</v>
      </c>
      <c r="F111" s="52" t="s">
        <v>345</v>
      </c>
      <c r="G111" s="23">
        <v>1914</v>
      </c>
      <c r="H111" s="30">
        <v>3808</v>
      </c>
      <c r="I111" s="23" t="s">
        <v>297</v>
      </c>
      <c r="J111" s="25">
        <f>SUM(EQUIPE!C111,EQUIPE!E111,EQUIPE!G111,EQUIPE!I111,EQUIPE!K111,EQUIPE!M111,EQUIPE!O111)</f>
        <v>11500</v>
      </c>
      <c r="K111" s="25">
        <v>0</v>
      </c>
      <c r="L111" s="25">
        <v>0</v>
      </c>
      <c r="M111" s="27" t="str">
        <f ca="1">IFERROR(LEFT(
IF(INDEX('ETAPA OBRA'!C:C,MATCH($B111,'ETAPA OBRA'!$B:$B,0))="x",'ETAPA OBRA'!C$1&amp;", ","")&amp;
IF(INDEX('ETAPA OBRA'!D:D,MATCH($B111,'ETAPA OBRA'!$B:$B,0))="x",'ETAPA OBRA'!D$1&amp;", ","")&amp;
IF(INDEX('ETAPA OBRA'!F:F,MATCH($B111,'ETAPA OBRA'!$B:$B,0))="x",'ETAPA OBRA'!F$1&amp;", ","")&amp;
IF(INDEX('ETAPA OBRA'!G:G,MATCH($B111,'ETAPA OBRA'!$B:$B,0))="x",'ETAPA OBRA'!G$1&amp;", ","")&amp;
IF(INDEX('ETAPA OBRA'!H:H,MATCH($B111,'ETAPA OBRA'!$B:$B,0))="x",'ETAPA OBRA'!H$1&amp;", ","")&amp;
IF(INDEX('ETAPA OBRA'!I:I,MATCH($B111,'ETAPA OBRA'!$B:$B,0))="x",'ETAPA OBRA'!I$1&amp;", ","")&amp;
IF(INDEX('ETAPA OBRA'!J:J,MATCH($B111,'ETAPA OBRA'!$B:$B,0))="x",'ETAPA OBRA'!J$1&amp;", ","")&amp;
IF(INDEX('ETAPA OBRA'!K:K,MATCH($B111,'ETAPA OBRA'!$B:$B,0))="x",'ETAPA OBRA'!K$1&amp;", ","")&amp;
IF(INDEX('ETAPA OBRA'!L:L,MATCH($B111,'ETAPA OBRA'!$B:$B,0))="x",'ETAPA OBRA'!L$1&amp;", ","")&amp;
IF(INDEX('ETAPA OBRA'!M:M,MATCH($B111,'ETAPA OBRA'!$B:$B,0))="x",'ETAPA OBRA'!M$1&amp;", ","")&amp;
IF(INDEX('ETAPA OBRA'!N:N,MATCH($B111,'ETAPA OBRA'!$B:$B,0))="x",'ETAPA OBRA'!N$1&amp;", ","")&amp;
IF(INDEX('ETAPA OBRA'!O:O,MATCH($B111,'ETAPA OBRA'!$B:$B,0))="x",'ETAPA OBRA'!O$1&amp;", ","")&amp;
IF(INDEX('ETAPA OBRA'!P:P,MATCH($B111,'ETAPA OBRA'!$B:$B,0))="x",'ETAPA OBRA'!P$1&amp;", ","")&amp;
IF(INDEX('ETAPA OBRA'!Q:Q,MATCH($B111,'ETAPA OBRA'!$B:$B,0))="x",'ETAPA OBRA'!Q$1&amp;", ","")&amp;
IF(INDEX('ETAPA OBRA'!R:R,MATCH($B111,'ETAPA OBRA'!$B:$B,0))="x",'ETAPA OBRA'!R$1&amp;", ","")&amp;
IF(INDEX('ETAPA OBRA'!S:S,MATCH($B111,'ETAPA OBRA'!$B:$B,0))="x",'ETAPA OBRA'!S$1&amp;", ","")&amp;
IF(INDEX('ETAPA OBRA'!T:T,MATCH($B111,'ETAPA OBRA'!$B:$B,0))="x",'ETAPA OBRA'!T$1&amp;", ","")&amp;
IF(INDEX('ETAPA OBRA'!U:U,MATCH($B111,'ETAPA OBRA'!$B:$B,0))="x",'ETAPA OBRA'!U$1&amp;", ",""),LEN(
IF(INDEX('ETAPA OBRA'!C:C,MATCH($B111,'ETAPA OBRA'!$B:$B,0))="x",'ETAPA OBRA'!C$1&amp;", ","")&amp;
IF(INDEX('ETAPA OBRA'!D:D,MATCH($B111,'ETAPA OBRA'!$B:$B,0))="x",'ETAPA OBRA'!D$1&amp;", ","")&amp;
IF(INDEX('ETAPA OBRA'!F:F,MATCH($B111,'ETAPA OBRA'!$B:$B,0))="x",'ETAPA OBRA'!F$1&amp;", ","")&amp;
IF(INDEX('ETAPA OBRA'!G:G,MATCH($B111,'ETAPA OBRA'!$B:$B,0))="x",'ETAPA OBRA'!G$1&amp;", ","")&amp;
IF(INDEX('ETAPA OBRA'!H:H,MATCH($B111,'ETAPA OBRA'!$B:$B,0))="x",'ETAPA OBRA'!H$1&amp;", ","")&amp;
IF(INDEX('ETAPA OBRA'!I:I,MATCH($B111,'ETAPA OBRA'!$B:$B,0))="x",'ETAPA OBRA'!I$1&amp;", ","")&amp;
IF(INDEX('ETAPA OBRA'!J:J,MATCH($B111,'ETAPA OBRA'!$B:$B,0))="x",'ETAPA OBRA'!J$1&amp;", ","")&amp;
IF(INDEX('ETAPA OBRA'!K:K,MATCH($B111,'ETAPA OBRA'!$B:$B,0))="x",'ETAPA OBRA'!K$1&amp;", ","")&amp;
IF(INDEX('ETAPA OBRA'!L:L,MATCH($B111,'ETAPA OBRA'!$B:$B,0))="x",'ETAPA OBRA'!L$1&amp;", ","")&amp;
IF(INDEX('ETAPA OBRA'!M:M,MATCH($B111,'ETAPA OBRA'!$B:$B,0))="x",'ETAPA OBRA'!M$1&amp;", ","")&amp;
IF(INDEX('ETAPA OBRA'!N:N,MATCH($B111,'ETAPA OBRA'!$B:$B,0))="x",'ETAPA OBRA'!N$1&amp;", ","")&amp;
IF(INDEX('ETAPA OBRA'!O:O,MATCH($B111,'ETAPA OBRA'!$B:$B,0))="x",'ETAPA OBRA'!O$1&amp;", ","")&amp;
IF(INDEX('ETAPA OBRA'!P:P,MATCH($B111,'ETAPA OBRA'!$B:$B,0))="x",'ETAPA OBRA'!P$1&amp;", ","")&amp;
IF(INDEX('ETAPA OBRA'!Q:Q,MATCH($B111,'ETAPA OBRA'!$B:$B,0))="x",'ETAPA OBRA'!Q$1&amp;", ","")&amp;
IF(INDEX('ETAPA OBRA'!R:R,MATCH($B111,'ETAPA OBRA'!$B:$B,0))="x",'ETAPA OBRA'!R$1&amp;", ","")&amp;
IF(INDEX('ETAPA OBRA'!S:S,MATCH($B111,'ETAPA OBRA'!$B:$B,0))="x",'ETAPA OBRA'!S$1&amp;", ","")&amp;
IF(INDEX('ETAPA OBRA'!T:T,MATCH($B111,'ETAPA OBRA'!$B:$B,0))="x",'ETAPA OBRA'!T$1&amp;", ","")&amp;
IF(INDEX('ETAPA OBRA'!U:U,MATCH($B111,'ETAPA OBRA'!$B:$B,0))="x",'ETAPA OBRA'!U$1&amp;", ","")
)-2),"")</f>
        <v>Execução</v>
      </c>
      <c r="N111" s="23" t="str">
        <f t="shared" ca="1" si="14"/>
        <v>Em andamento</v>
      </c>
      <c r="O111" s="28">
        <v>24196.77</v>
      </c>
      <c r="P111" s="37">
        <f t="shared" si="10"/>
        <v>11500</v>
      </c>
      <c r="Q111" s="28">
        <f t="shared" si="15"/>
        <v>12696.77</v>
      </c>
      <c r="R111" s="29">
        <f t="shared" si="16"/>
        <v>0.5247299536260418</v>
      </c>
      <c r="S111" s="23" t="str">
        <f t="shared" si="17"/>
        <v>✅ OK - Fechar Parceiro</v>
      </c>
      <c r="T111" s="23" t="str">
        <f ca="1">Cronograma[[#This Row],[STATUS]]</f>
        <v>🕓 EM ANDAMENTO</v>
      </c>
    </row>
    <row r="112" spans="1:20" ht="15" customHeight="1" x14ac:dyDescent="0.3">
      <c r="A112" s="23" t="s">
        <v>346</v>
      </c>
      <c r="B112" s="23" t="str">
        <f>IF(A112&lt;&gt;"","contel-"&amp;TEXT(COUNTA($A$2:A112),"00"),"")</f>
        <v>contel-111</v>
      </c>
      <c r="C112" s="23" t="s">
        <v>120</v>
      </c>
      <c r="D112" s="23" t="s">
        <v>341</v>
      </c>
      <c r="E112" s="23" t="s">
        <v>309</v>
      </c>
      <c r="F112" s="52" t="s">
        <v>347</v>
      </c>
      <c r="G112" s="23">
        <v>1816</v>
      </c>
      <c r="H112" s="30">
        <v>3802</v>
      </c>
      <c r="I112" s="23" t="s">
        <v>297</v>
      </c>
      <c r="J112" s="25">
        <f>SUM(EQUIPE!C112,EQUIPE!E112,EQUIPE!G112,EQUIPE!I112,EQUIPE!K112,EQUIPE!M112,EQUIPE!O112)</f>
        <v>0</v>
      </c>
      <c r="K112" s="25">
        <v>0</v>
      </c>
      <c r="L112" s="25">
        <v>0</v>
      </c>
      <c r="M112" s="27" t="str">
        <f ca="1">IFERROR(LEFT(
IF(INDEX('ETAPA OBRA'!C:C,MATCH($B112,'ETAPA OBRA'!$B:$B,0))="x",'ETAPA OBRA'!C$1&amp;", ","")&amp;
IF(INDEX('ETAPA OBRA'!D:D,MATCH($B112,'ETAPA OBRA'!$B:$B,0))="x",'ETAPA OBRA'!D$1&amp;", ","")&amp;
IF(INDEX('ETAPA OBRA'!F:F,MATCH($B112,'ETAPA OBRA'!$B:$B,0))="x",'ETAPA OBRA'!F$1&amp;", ","")&amp;
IF(INDEX('ETAPA OBRA'!G:G,MATCH($B112,'ETAPA OBRA'!$B:$B,0))="x",'ETAPA OBRA'!G$1&amp;", ","")&amp;
IF(INDEX('ETAPA OBRA'!H:H,MATCH($B112,'ETAPA OBRA'!$B:$B,0))="x",'ETAPA OBRA'!H$1&amp;", ","")&amp;
IF(INDEX('ETAPA OBRA'!I:I,MATCH($B112,'ETAPA OBRA'!$B:$B,0))="x",'ETAPA OBRA'!I$1&amp;", ","")&amp;
IF(INDEX('ETAPA OBRA'!J:J,MATCH($B112,'ETAPA OBRA'!$B:$B,0))="x",'ETAPA OBRA'!J$1&amp;", ","")&amp;
IF(INDEX('ETAPA OBRA'!K:K,MATCH($B112,'ETAPA OBRA'!$B:$B,0))="x",'ETAPA OBRA'!K$1&amp;", ","")&amp;
IF(INDEX('ETAPA OBRA'!L:L,MATCH($B112,'ETAPA OBRA'!$B:$B,0))="x",'ETAPA OBRA'!L$1&amp;", ","")&amp;
IF(INDEX('ETAPA OBRA'!M:M,MATCH($B112,'ETAPA OBRA'!$B:$B,0))="x",'ETAPA OBRA'!M$1&amp;", ","")&amp;
IF(INDEX('ETAPA OBRA'!N:N,MATCH($B112,'ETAPA OBRA'!$B:$B,0))="x",'ETAPA OBRA'!N$1&amp;", ","")&amp;
IF(INDEX('ETAPA OBRA'!O:O,MATCH($B112,'ETAPA OBRA'!$B:$B,0))="x",'ETAPA OBRA'!O$1&amp;", ","")&amp;
IF(INDEX('ETAPA OBRA'!P:P,MATCH($B112,'ETAPA OBRA'!$B:$B,0))="x",'ETAPA OBRA'!P$1&amp;", ","")&amp;
IF(INDEX('ETAPA OBRA'!Q:Q,MATCH($B112,'ETAPA OBRA'!$B:$B,0))="x",'ETAPA OBRA'!Q$1&amp;", ","")&amp;
IF(INDEX('ETAPA OBRA'!R:R,MATCH($B112,'ETAPA OBRA'!$B:$B,0))="x",'ETAPA OBRA'!R$1&amp;", ","")&amp;
IF(INDEX('ETAPA OBRA'!S:S,MATCH($B112,'ETAPA OBRA'!$B:$B,0))="x",'ETAPA OBRA'!S$1&amp;", ","")&amp;
IF(INDEX('ETAPA OBRA'!T:T,MATCH($B112,'ETAPA OBRA'!$B:$B,0))="x",'ETAPA OBRA'!T$1&amp;", ","")&amp;
IF(INDEX('ETAPA OBRA'!U:U,MATCH($B112,'ETAPA OBRA'!$B:$B,0))="x",'ETAPA OBRA'!U$1&amp;", ",""),LEN(
IF(INDEX('ETAPA OBRA'!C:C,MATCH($B112,'ETAPA OBRA'!$B:$B,0))="x",'ETAPA OBRA'!C$1&amp;", ","")&amp;
IF(INDEX('ETAPA OBRA'!D:D,MATCH($B112,'ETAPA OBRA'!$B:$B,0))="x",'ETAPA OBRA'!D$1&amp;", ","")&amp;
IF(INDEX('ETAPA OBRA'!F:F,MATCH($B112,'ETAPA OBRA'!$B:$B,0))="x",'ETAPA OBRA'!F$1&amp;", ","")&amp;
IF(INDEX('ETAPA OBRA'!G:G,MATCH($B112,'ETAPA OBRA'!$B:$B,0))="x",'ETAPA OBRA'!G$1&amp;", ","")&amp;
IF(INDEX('ETAPA OBRA'!H:H,MATCH($B112,'ETAPA OBRA'!$B:$B,0))="x",'ETAPA OBRA'!H$1&amp;", ","")&amp;
IF(INDEX('ETAPA OBRA'!I:I,MATCH($B112,'ETAPA OBRA'!$B:$B,0))="x",'ETAPA OBRA'!I$1&amp;", ","")&amp;
IF(INDEX('ETAPA OBRA'!J:J,MATCH($B112,'ETAPA OBRA'!$B:$B,0))="x",'ETAPA OBRA'!J$1&amp;", ","")&amp;
IF(INDEX('ETAPA OBRA'!K:K,MATCH($B112,'ETAPA OBRA'!$B:$B,0))="x",'ETAPA OBRA'!K$1&amp;", ","")&amp;
IF(INDEX('ETAPA OBRA'!L:L,MATCH($B112,'ETAPA OBRA'!$B:$B,0))="x",'ETAPA OBRA'!L$1&amp;", ","")&amp;
IF(INDEX('ETAPA OBRA'!M:M,MATCH($B112,'ETAPA OBRA'!$B:$B,0))="x",'ETAPA OBRA'!M$1&amp;", ","")&amp;
IF(INDEX('ETAPA OBRA'!N:N,MATCH($B112,'ETAPA OBRA'!$B:$B,0))="x",'ETAPA OBRA'!N$1&amp;", ","")&amp;
IF(INDEX('ETAPA OBRA'!O:O,MATCH($B112,'ETAPA OBRA'!$B:$B,0))="x",'ETAPA OBRA'!O$1&amp;", ","")&amp;
IF(INDEX('ETAPA OBRA'!P:P,MATCH($B112,'ETAPA OBRA'!$B:$B,0))="x",'ETAPA OBRA'!P$1&amp;", ","")&amp;
IF(INDEX('ETAPA OBRA'!Q:Q,MATCH($B112,'ETAPA OBRA'!$B:$B,0))="x",'ETAPA OBRA'!Q$1&amp;", ","")&amp;
IF(INDEX('ETAPA OBRA'!R:R,MATCH($B112,'ETAPA OBRA'!$B:$B,0))="x",'ETAPA OBRA'!R$1&amp;", ","")&amp;
IF(INDEX('ETAPA OBRA'!S:S,MATCH($B112,'ETAPA OBRA'!$B:$B,0))="x",'ETAPA OBRA'!S$1&amp;", ","")&amp;
IF(INDEX('ETAPA OBRA'!T:T,MATCH($B112,'ETAPA OBRA'!$B:$B,0))="x",'ETAPA OBRA'!T$1&amp;", ","")&amp;
IF(INDEX('ETAPA OBRA'!U:U,MATCH($B112,'ETAPA OBRA'!$B:$B,0))="x",'ETAPA OBRA'!U$1&amp;", ","")
)-2),"")</f>
        <v>Elaboração de cronograma, Survey</v>
      </c>
      <c r="N112" s="23" t="str">
        <f t="shared" ca="1" si="14"/>
        <v>Em andamento</v>
      </c>
      <c r="O112" s="28">
        <v>9444.06</v>
      </c>
      <c r="P112" s="37">
        <f t="shared" si="10"/>
        <v>0</v>
      </c>
      <c r="Q112" s="28">
        <f t="shared" si="15"/>
        <v>9444.06</v>
      </c>
      <c r="R112" s="29">
        <f t="shared" si="16"/>
        <v>1</v>
      </c>
      <c r="S112" s="23" t="str">
        <f t="shared" si="17"/>
        <v>✅ OK - Fechar Parceiro</v>
      </c>
      <c r="T112" s="23" t="str">
        <f ca="1">Cronograma[[#This Row],[STATUS]]</f>
        <v>🕓 EM ANDAMENTO</v>
      </c>
    </row>
    <row r="113" spans="1:20" ht="15" customHeight="1" x14ac:dyDescent="0.3">
      <c r="A113" s="23" t="s">
        <v>348</v>
      </c>
      <c r="B113" s="23" t="str">
        <f>IF(A113&lt;&gt;"","contel-"&amp;TEXT(COUNTA($A$2:A113),"00"),"")</f>
        <v>contel-112</v>
      </c>
      <c r="C113" s="23" t="s">
        <v>120</v>
      </c>
      <c r="D113" s="23" t="s">
        <v>349</v>
      </c>
      <c r="E113" s="23" t="s">
        <v>302</v>
      </c>
      <c r="F113" s="52" t="s">
        <v>350</v>
      </c>
      <c r="G113" s="23">
        <v>1760</v>
      </c>
      <c r="H113" s="30">
        <v>10941</v>
      </c>
      <c r="I113" s="23" t="s">
        <v>297</v>
      </c>
      <c r="J113" s="25">
        <f>SUM(EQUIPE!C113,EQUIPE!E113,EQUIPE!G113,EQUIPE!I113,EQUIPE!K113,EQUIPE!M113,EQUIPE!O113)</f>
        <v>0</v>
      </c>
      <c r="K113" s="25">
        <v>0</v>
      </c>
      <c r="L113" s="25">
        <v>0</v>
      </c>
      <c r="M113" s="27" t="str">
        <f ca="1">IFERROR(LEFT(
IF(INDEX('ETAPA OBRA'!C:C,MATCH($B113,'ETAPA OBRA'!$B:$B,0))="x",'ETAPA OBRA'!C$1&amp;", ","")&amp;
IF(INDEX('ETAPA OBRA'!D:D,MATCH($B113,'ETAPA OBRA'!$B:$B,0))="x",'ETAPA OBRA'!D$1&amp;", ","")&amp;
IF(INDEX('ETAPA OBRA'!F:F,MATCH($B113,'ETAPA OBRA'!$B:$B,0))="x",'ETAPA OBRA'!F$1&amp;", ","")&amp;
IF(INDEX('ETAPA OBRA'!G:G,MATCH($B113,'ETAPA OBRA'!$B:$B,0))="x",'ETAPA OBRA'!G$1&amp;", ","")&amp;
IF(INDEX('ETAPA OBRA'!H:H,MATCH($B113,'ETAPA OBRA'!$B:$B,0))="x",'ETAPA OBRA'!H$1&amp;", ","")&amp;
IF(INDEX('ETAPA OBRA'!I:I,MATCH($B113,'ETAPA OBRA'!$B:$B,0))="x",'ETAPA OBRA'!I$1&amp;", ","")&amp;
IF(INDEX('ETAPA OBRA'!J:J,MATCH($B113,'ETAPA OBRA'!$B:$B,0))="x",'ETAPA OBRA'!J$1&amp;", ","")&amp;
IF(INDEX('ETAPA OBRA'!K:K,MATCH($B113,'ETAPA OBRA'!$B:$B,0))="x",'ETAPA OBRA'!K$1&amp;", ","")&amp;
IF(INDEX('ETAPA OBRA'!L:L,MATCH($B113,'ETAPA OBRA'!$B:$B,0))="x",'ETAPA OBRA'!L$1&amp;", ","")&amp;
IF(INDEX('ETAPA OBRA'!M:M,MATCH($B113,'ETAPA OBRA'!$B:$B,0))="x",'ETAPA OBRA'!M$1&amp;", ","")&amp;
IF(INDEX('ETAPA OBRA'!N:N,MATCH($B113,'ETAPA OBRA'!$B:$B,0))="x",'ETAPA OBRA'!N$1&amp;", ","")&amp;
IF(INDEX('ETAPA OBRA'!O:O,MATCH($B113,'ETAPA OBRA'!$B:$B,0))="x",'ETAPA OBRA'!O$1&amp;", ","")&amp;
IF(INDEX('ETAPA OBRA'!P:P,MATCH($B113,'ETAPA OBRA'!$B:$B,0))="x",'ETAPA OBRA'!P$1&amp;", ","")&amp;
IF(INDEX('ETAPA OBRA'!Q:Q,MATCH($B113,'ETAPA OBRA'!$B:$B,0))="x",'ETAPA OBRA'!Q$1&amp;", ","")&amp;
IF(INDEX('ETAPA OBRA'!R:R,MATCH($B113,'ETAPA OBRA'!$B:$B,0))="x",'ETAPA OBRA'!R$1&amp;", ","")&amp;
IF(INDEX('ETAPA OBRA'!S:S,MATCH($B113,'ETAPA OBRA'!$B:$B,0))="x",'ETAPA OBRA'!S$1&amp;", ","")&amp;
IF(INDEX('ETAPA OBRA'!T:T,MATCH($B113,'ETAPA OBRA'!$B:$B,0))="x",'ETAPA OBRA'!T$1&amp;", ","")&amp;
IF(INDEX('ETAPA OBRA'!U:U,MATCH($B113,'ETAPA OBRA'!$B:$B,0))="x",'ETAPA OBRA'!U$1&amp;", ",""),LEN(
IF(INDEX('ETAPA OBRA'!C:C,MATCH($B113,'ETAPA OBRA'!$B:$B,0))="x",'ETAPA OBRA'!C$1&amp;", ","")&amp;
IF(INDEX('ETAPA OBRA'!D:D,MATCH($B113,'ETAPA OBRA'!$B:$B,0))="x",'ETAPA OBRA'!D$1&amp;", ","")&amp;
IF(INDEX('ETAPA OBRA'!F:F,MATCH($B113,'ETAPA OBRA'!$B:$B,0))="x",'ETAPA OBRA'!F$1&amp;", ","")&amp;
IF(INDEX('ETAPA OBRA'!G:G,MATCH($B113,'ETAPA OBRA'!$B:$B,0))="x",'ETAPA OBRA'!G$1&amp;", ","")&amp;
IF(INDEX('ETAPA OBRA'!H:H,MATCH($B113,'ETAPA OBRA'!$B:$B,0))="x",'ETAPA OBRA'!H$1&amp;", ","")&amp;
IF(INDEX('ETAPA OBRA'!I:I,MATCH($B113,'ETAPA OBRA'!$B:$B,0))="x",'ETAPA OBRA'!I$1&amp;", ","")&amp;
IF(INDEX('ETAPA OBRA'!J:J,MATCH($B113,'ETAPA OBRA'!$B:$B,0))="x",'ETAPA OBRA'!J$1&amp;", ","")&amp;
IF(INDEX('ETAPA OBRA'!K:K,MATCH($B113,'ETAPA OBRA'!$B:$B,0))="x",'ETAPA OBRA'!K$1&amp;", ","")&amp;
IF(INDEX('ETAPA OBRA'!L:L,MATCH($B113,'ETAPA OBRA'!$B:$B,0))="x",'ETAPA OBRA'!L$1&amp;", ","")&amp;
IF(INDEX('ETAPA OBRA'!M:M,MATCH($B113,'ETAPA OBRA'!$B:$B,0))="x",'ETAPA OBRA'!M$1&amp;", ","")&amp;
IF(INDEX('ETAPA OBRA'!N:N,MATCH($B113,'ETAPA OBRA'!$B:$B,0))="x",'ETAPA OBRA'!N$1&amp;", ","")&amp;
IF(INDEX('ETAPA OBRA'!O:O,MATCH($B113,'ETAPA OBRA'!$B:$B,0))="x",'ETAPA OBRA'!O$1&amp;", ","")&amp;
IF(INDEX('ETAPA OBRA'!P:P,MATCH($B113,'ETAPA OBRA'!$B:$B,0))="x",'ETAPA OBRA'!P$1&amp;", ","")&amp;
IF(INDEX('ETAPA OBRA'!Q:Q,MATCH($B113,'ETAPA OBRA'!$B:$B,0))="x",'ETAPA OBRA'!Q$1&amp;", ","")&amp;
IF(INDEX('ETAPA OBRA'!R:R,MATCH($B113,'ETAPA OBRA'!$B:$B,0))="x",'ETAPA OBRA'!R$1&amp;", ","")&amp;
IF(INDEX('ETAPA OBRA'!S:S,MATCH($B113,'ETAPA OBRA'!$B:$B,0))="x",'ETAPA OBRA'!S$1&amp;", ","")&amp;
IF(INDEX('ETAPA OBRA'!T:T,MATCH($B113,'ETAPA OBRA'!$B:$B,0))="x",'ETAPA OBRA'!T$1&amp;", ","")&amp;
IF(INDEX('ETAPA OBRA'!U:U,MATCH($B113,'ETAPA OBRA'!$B:$B,0))="x",'ETAPA OBRA'!U$1&amp;", ","")
)-2),"")</f>
        <v>Elaboração de cronograma</v>
      </c>
      <c r="N113" s="23" t="str">
        <f t="shared" ca="1" si="14"/>
        <v>Em andamento</v>
      </c>
      <c r="O113" s="28">
        <v>24415.95</v>
      </c>
      <c r="P113" s="37">
        <f t="shared" si="10"/>
        <v>0</v>
      </c>
      <c r="Q113" s="28">
        <f t="shared" si="15"/>
        <v>24415.95</v>
      </c>
      <c r="R113" s="29">
        <f t="shared" si="16"/>
        <v>1</v>
      </c>
      <c r="S113" s="23" t="str">
        <f t="shared" si="17"/>
        <v>✅ OK - Fechar Parceiro</v>
      </c>
      <c r="T113" s="23" t="str">
        <f ca="1">Cronograma[[#This Row],[STATUS]]</f>
        <v>🕓 EM ANDAMENTO</v>
      </c>
    </row>
    <row r="114" spans="1:20" ht="15" customHeight="1" x14ac:dyDescent="0.3">
      <c r="A114" s="23" t="s">
        <v>351</v>
      </c>
      <c r="B114" s="23" t="str">
        <f>IF(A114&lt;&gt;"","contel-"&amp;TEXT(COUNTA($A$2:A114),"00"),"")</f>
        <v>contel-113</v>
      </c>
      <c r="C114" s="23" t="s">
        <v>120</v>
      </c>
      <c r="D114" s="23" t="s">
        <v>352</v>
      </c>
      <c r="E114" s="23" t="s">
        <v>302</v>
      </c>
      <c r="F114" s="52" t="s">
        <v>353</v>
      </c>
      <c r="G114" s="23">
        <v>1776</v>
      </c>
      <c r="H114" s="30">
        <v>16113</v>
      </c>
      <c r="I114" s="23" t="s">
        <v>63</v>
      </c>
      <c r="J114" s="25">
        <f>SUM(EQUIPE!C114,EQUIPE!E114,EQUIPE!G114,EQUIPE!I114,EQUIPE!K114,EQUIPE!M114,EQUIPE!O114)</f>
        <v>3000</v>
      </c>
      <c r="K114" s="25">
        <v>0</v>
      </c>
      <c r="L114" s="25">
        <v>0</v>
      </c>
      <c r="M114" s="27" t="str">
        <f ca="1">IFERROR(LEFT(
IF(INDEX('ETAPA OBRA'!C:C,MATCH($B114,'ETAPA OBRA'!$B:$B,0))="x",'ETAPA OBRA'!C$1&amp;", ","")&amp;
IF(INDEX('ETAPA OBRA'!D:D,MATCH($B114,'ETAPA OBRA'!$B:$B,0))="x",'ETAPA OBRA'!D$1&amp;", ","")&amp;
IF(INDEX('ETAPA OBRA'!F:F,MATCH($B114,'ETAPA OBRA'!$B:$B,0))="x",'ETAPA OBRA'!F$1&amp;", ","")&amp;
IF(INDEX('ETAPA OBRA'!G:G,MATCH($B114,'ETAPA OBRA'!$B:$B,0))="x",'ETAPA OBRA'!G$1&amp;", ","")&amp;
IF(INDEX('ETAPA OBRA'!H:H,MATCH($B114,'ETAPA OBRA'!$B:$B,0))="x",'ETAPA OBRA'!H$1&amp;", ","")&amp;
IF(INDEX('ETAPA OBRA'!I:I,MATCH($B114,'ETAPA OBRA'!$B:$B,0))="x",'ETAPA OBRA'!I$1&amp;", ","")&amp;
IF(INDEX('ETAPA OBRA'!J:J,MATCH($B114,'ETAPA OBRA'!$B:$B,0))="x",'ETAPA OBRA'!J$1&amp;", ","")&amp;
IF(INDEX('ETAPA OBRA'!K:K,MATCH($B114,'ETAPA OBRA'!$B:$B,0))="x",'ETAPA OBRA'!K$1&amp;", ","")&amp;
IF(INDEX('ETAPA OBRA'!L:L,MATCH($B114,'ETAPA OBRA'!$B:$B,0))="x",'ETAPA OBRA'!L$1&amp;", ","")&amp;
IF(INDEX('ETAPA OBRA'!M:M,MATCH($B114,'ETAPA OBRA'!$B:$B,0))="x",'ETAPA OBRA'!M$1&amp;", ","")&amp;
IF(INDEX('ETAPA OBRA'!N:N,MATCH($B114,'ETAPA OBRA'!$B:$B,0))="x",'ETAPA OBRA'!N$1&amp;", ","")&amp;
IF(INDEX('ETAPA OBRA'!O:O,MATCH($B114,'ETAPA OBRA'!$B:$B,0))="x",'ETAPA OBRA'!O$1&amp;", ","")&amp;
IF(INDEX('ETAPA OBRA'!P:P,MATCH($B114,'ETAPA OBRA'!$B:$B,0))="x",'ETAPA OBRA'!P$1&amp;", ","")&amp;
IF(INDEX('ETAPA OBRA'!Q:Q,MATCH($B114,'ETAPA OBRA'!$B:$B,0))="x",'ETAPA OBRA'!Q$1&amp;", ","")&amp;
IF(INDEX('ETAPA OBRA'!R:R,MATCH($B114,'ETAPA OBRA'!$B:$B,0))="x",'ETAPA OBRA'!R$1&amp;", ","")&amp;
IF(INDEX('ETAPA OBRA'!S:S,MATCH($B114,'ETAPA OBRA'!$B:$B,0))="x",'ETAPA OBRA'!S$1&amp;", ","")&amp;
IF(INDEX('ETAPA OBRA'!T:T,MATCH($B114,'ETAPA OBRA'!$B:$B,0))="x",'ETAPA OBRA'!T$1&amp;", ","")&amp;
IF(INDEX('ETAPA OBRA'!U:U,MATCH($B114,'ETAPA OBRA'!$B:$B,0))="x",'ETAPA OBRA'!U$1&amp;", ",""),LEN(
IF(INDEX('ETAPA OBRA'!C:C,MATCH($B114,'ETAPA OBRA'!$B:$B,0))="x",'ETAPA OBRA'!C$1&amp;", ","")&amp;
IF(INDEX('ETAPA OBRA'!D:D,MATCH($B114,'ETAPA OBRA'!$B:$B,0))="x",'ETAPA OBRA'!D$1&amp;", ","")&amp;
IF(INDEX('ETAPA OBRA'!F:F,MATCH($B114,'ETAPA OBRA'!$B:$B,0))="x",'ETAPA OBRA'!F$1&amp;", ","")&amp;
IF(INDEX('ETAPA OBRA'!G:G,MATCH($B114,'ETAPA OBRA'!$B:$B,0))="x",'ETAPA OBRA'!G$1&amp;", ","")&amp;
IF(INDEX('ETAPA OBRA'!H:H,MATCH($B114,'ETAPA OBRA'!$B:$B,0))="x",'ETAPA OBRA'!H$1&amp;", ","")&amp;
IF(INDEX('ETAPA OBRA'!I:I,MATCH($B114,'ETAPA OBRA'!$B:$B,0))="x",'ETAPA OBRA'!I$1&amp;", ","")&amp;
IF(INDEX('ETAPA OBRA'!J:J,MATCH($B114,'ETAPA OBRA'!$B:$B,0))="x",'ETAPA OBRA'!J$1&amp;", ","")&amp;
IF(INDEX('ETAPA OBRA'!K:K,MATCH($B114,'ETAPA OBRA'!$B:$B,0))="x",'ETAPA OBRA'!K$1&amp;", ","")&amp;
IF(INDEX('ETAPA OBRA'!L:L,MATCH($B114,'ETAPA OBRA'!$B:$B,0))="x",'ETAPA OBRA'!L$1&amp;", ","")&amp;
IF(INDEX('ETAPA OBRA'!M:M,MATCH($B114,'ETAPA OBRA'!$B:$B,0))="x",'ETAPA OBRA'!M$1&amp;", ","")&amp;
IF(INDEX('ETAPA OBRA'!N:N,MATCH($B114,'ETAPA OBRA'!$B:$B,0))="x",'ETAPA OBRA'!N$1&amp;", ","")&amp;
IF(INDEX('ETAPA OBRA'!O:O,MATCH($B114,'ETAPA OBRA'!$B:$B,0))="x",'ETAPA OBRA'!O$1&amp;", ","")&amp;
IF(INDEX('ETAPA OBRA'!P:P,MATCH($B114,'ETAPA OBRA'!$B:$B,0))="x",'ETAPA OBRA'!P$1&amp;", ","")&amp;
IF(INDEX('ETAPA OBRA'!Q:Q,MATCH($B114,'ETAPA OBRA'!$B:$B,0))="x",'ETAPA OBRA'!Q$1&amp;", ","")&amp;
IF(INDEX('ETAPA OBRA'!R:R,MATCH($B114,'ETAPA OBRA'!$B:$B,0))="x",'ETAPA OBRA'!R$1&amp;", ","")&amp;
IF(INDEX('ETAPA OBRA'!S:S,MATCH($B114,'ETAPA OBRA'!$B:$B,0))="x",'ETAPA OBRA'!S$1&amp;", ","")&amp;
IF(INDEX('ETAPA OBRA'!T:T,MATCH($B114,'ETAPA OBRA'!$B:$B,0))="x",'ETAPA OBRA'!T$1&amp;", ","")&amp;
IF(INDEX('ETAPA OBRA'!U:U,MATCH($B114,'ETAPA OBRA'!$B:$B,0))="x",'ETAPA OBRA'!U$1&amp;", ","")
)-2),"")</f>
        <v>Elaboração de cronograma, Compra de material, Envio de material</v>
      </c>
      <c r="N114" s="23" t="str">
        <f t="shared" ca="1" si="14"/>
        <v>Em andamento</v>
      </c>
      <c r="O114" s="28">
        <v>8908.7800000000007</v>
      </c>
      <c r="P114" s="37">
        <f t="shared" si="10"/>
        <v>3000</v>
      </c>
      <c r="Q114" s="28">
        <f t="shared" si="15"/>
        <v>5908.7800000000007</v>
      </c>
      <c r="R114" s="29">
        <f t="shared" si="16"/>
        <v>0.66325355435873379</v>
      </c>
      <c r="S114" s="23" t="str">
        <f t="shared" si="17"/>
        <v>✅ OK - Fechar Parceiro</v>
      </c>
      <c r="T114" s="23" t="str">
        <f ca="1">Cronograma[[#This Row],[STATUS]]</f>
        <v>⏰ ATRASADO</v>
      </c>
    </row>
    <row r="115" spans="1:20" ht="15" customHeight="1" x14ac:dyDescent="0.3">
      <c r="A115" s="23" t="s">
        <v>354</v>
      </c>
      <c r="B115" s="23" t="str">
        <f>IF(A115&lt;&gt;"","contel-"&amp;TEXT(COUNTA($A$2:A115),"00"),"")</f>
        <v>contel-114</v>
      </c>
      <c r="C115" s="23" t="s">
        <v>120</v>
      </c>
      <c r="D115" s="23" t="s">
        <v>355</v>
      </c>
      <c r="E115" s="23" t="s">
        <v>302</v>
      </c>
      <c r="F115" s="52" t="s">
        <v>356</v>
      </c>
      <c r="G115" s="23">
        <v>1817</v>
      </c>
      <c r="H115" s="30">
        <v>16598</v>
      </c>
      <c r="I115" s="23" t="s">
        <v>297</v>
      </c>
      <c r="J115" s="25">
        <f>SUM(EQUIPE!C115,EQUIPE!E115,EQUIPE!G115,EQUIPE!I115,EQUIPE!K115,EQUIPE!M115,EQUIPE!O115)</f>
        <v>0</v>
      </c>
      <c r="K115" s="25">
        <v>0</v>
      </c>
      <c r="L115" s="25">
        <v>0</v>
      </c>
      <c r="M115" s="27" t="str">
        <f ca="1">IFERROR(LEFT(
IF(INDEX('ETAPA OBRA'!C:C,MATCH($B115,'ETAPA OBRA'!$B:$B,0))="x",'ETAPA OBRA'!C$1&amp;", ","")&amp;
IF(INDEX('ETAPA OBRA'!D:D,MATCH($B115,'ETAPA OBRA'!$B:$B,0))="x",'ETAPA OBRA'!D$1&amp;", ","")&amp;
IF(INDEX('ETAPA OBRA'!F:F,MATCH($B115,'ETAPA OBRA'!$B:$B,0))="x",'ETAPA OBRA'!F$1&amp;", ","")&amp;
IF(INDEX('ETAPA OBRA'!G:G,MATCH($B115,'ETAPA OBRA'!$B:$B,0))="x",'ETAPA OBRA'!G$1&amp;", ","")&amp;
IF(INDEX('ETAPA OBRA'!H:H,MATCH($B115,'ETAPA OBRA'!$B:$B,0))="x",'ETAPA OBRA'!H$1&amp;", ","")&amp;
IF(INDEX('ETAPA OBRA'!I:I,MATCH($B115,'ETAPA OBRA'!$B:$B,0))="x",'ETAPA OBRA'!I$1&amp;", ","")&amp;
IF(INDEX('ETAPA OBRA'!J:J,MATCH($B115,'ETAPA OBRA'!$B:$B,0))="x",'ETAPA OBRA'!J$1&amp;", ","")&amp;
IF(INDEX('ETAPA OBRA'!K:K,MATCH($B115,'ETAPA OBRA'!$B:$B,0))="x",'ETAPA OBRA'!K$1&amp;", ","")&amp;
IF(INDEX('ETAPA OBRA'!L:L,MATCH($B115,'ETAPA OBRA'!$B:$B,0))="x",'ETAPA OBRA'!L$1&amp;", ","")&amp;
IF(INDEX('ETAPA OBRA'!M:M,MATCH($B115,'ETAPA OBRA'!$B:$B,0))="x",'ETAPA OBRA'!M$1&amp;", ","")&amp;
IF(INDEX('ETAPA OBRA'!N:N,MATCH($B115,'ETAPA OBRA'!$B:$B,0))="x",'ETAPA OBRA'!N$1&amp;", ","")&amp;
IF(INDEX('ETAPA OBRA'!O:O,MATCH($B115,'ETAPA OBRA'!$B:$B,0))="x",'ETAPA OBRA'!O$1&amp;", ","")&amp;
IF(INDEX('ETAPA OBRA'!P:P,MATCH($B115,'ETAPA OBRA'!$B:$B,0))="x",'ETAPA OBRA'!P$1&amp;", ","")&amp;
IF(INDEX('ETAPA OBRA'!Q:Q,MATCH($B115,'ETAPA OBRA'!$B:$B,0))="x",'ETAPA OBRA'!Q$1&amp;", ","")&amp;
IF(INDEX('ETAPA OBRA'!R:R,MATCH($B115,'ETAPA OBRA'!$B:$B,0))="x",'ETAPA OBRA'!R$1&amp;", ","")&amp;
IF(INDEX('ETAPA OBRA'!S:S,MATCH($B115,'ETAPA OBRA'!$B:$B,0))="x",'ETAPA OBRA'!S$1&amp;", ","")&amp;
IF(INDEX('ETAPA OBRA'!T:T,MATCH($B115,'ETAPA OBRA'!$B:$B,0))="x",'ETAPA OBRA'!T$1&amp;", ","")&amp;
IF(INDEX('ETAPA OBRA'!U:U,MATCH($B115,'ETAPA OBRA'!$B:$B,0))="x",'ETAPA OBRA'!U$1&amp;", ",""),LEN(
IF(INDEX('ETAPA OBRA'!C:C,MATCH($B115,'ETAPA OBRA'!$B:$B,0))="x",'ETAPA OBRA'!C$1&amp;", ","")&amp;
IF(INDEX('ETAPA OBRA'!D:D,MATCH($B115,'ETAPA OBRA'!$B:$B,0))="x",'ETAPA OBRA'!D$1&amp;", ","")&amp;
IF(INDEX('ETAPA OBRA'!F:F,MATCH($B115,'ETAPA OBRA'!$B:$B,0))="x",'ETAPA OBRA'!F$1&amp;", ","")&amp;
IF(INDEX('ETAPA OBRA'!G:G,MATCH($B115,'ETAPA OBRA'!$B:$B,0))="x",'ETAPA OBRA'!G$1&amp;", ","")&amp;
IF(INDEX('ETAPA OBRA'!H:H,MATCH($B115,'ETAPA OBRA'!$B:$B,0))="x",'ETAPA OBRA'!H$1&amp;", ","")&amp;
IF(INDEX('ETAPA OBRA'!I:I,MATCH($B115,'ETAPA OBRA'!$B:$B,0))="x",'ETAPA OBRA'!I$1&amp;", ","")&amp;
IF(INDEX('ETAPA OBRA'!J:J,MATCH($B115,'ETAPA OBRA'!$B:$B,0))="x",'ETAPA OBRA'!J$1&amp;", ","")&amp;
IF(INDEX('ETAPA OBRA'!K:K,MATCH($B115,'ETAPA OBRA'!$B:$B,0))="x",'ETAPA OBRA'!K$1&amp;", ","")&amp;
IF(INDEX('ETAPA OBRA'!L:L,MATCH($B115,'ETAPA OBRA'!$B:$B,0))="x",'ETAPA OBRA'!L$1&amp;", ","")&amp;
IF(INDEX('ETAPA OBRA'!M:M,MATCH($B115,'ETAPA OBRA'!$B:$B,0))="x",'ETAPA OBRA'!M$1&amp;", ","")&amp;
IF(INDEX('ETAPA OBRA'!N:N,MATCH($B115,'ETAPA OBRA'!$B:$B,0))="x",'ETAPA OBRA'!N$1&amp;", ","")&amp;
IF(INDEX('ETAPA OBRA'!O:O,MATCH($B115,'ETAPA OBRA'!$B:$B,0))="x",'ETAPA OBRA'!O$1&amp;", ","")&amp;
IF(INDEX('ETAPA OBRA'!P:P,MATCH($B115,'ETAPA OBRA'!$B:$B,0))="x",'ETAPA OBRA'!P$1&amp;", ","")&amp;
IF(INDEX('ETAPA OBRA'!Q:Q,MATCH($B115,'ETAPA OBRA'!$B:$B,0))="x",'ETAPA OBRA'!Q$1&amp;", ","")&amp;
IF(INDEX('ETAPA OBRA'!R:R,MATCH($B115,'ETAPA OBRA'!$B:$B,0))="x",'ETAPA OBRA'!R$1&amp;", ","")&amp;
IF(INDEX('ETAPA OBRA'!S:S,MATCH($B115,'ETAPA OBRA'!$B:$B,0))="x",'ETAPA OBRA'!S$1&amp;", ","")&amp;
IF(INDEX('ETAPA OBRA'!T:T,MATCH($B115,'ETAPA OBRA'!$B:$B,0))="x",'ETAPA OBRA'!T$1&amp;", ","")&amp;
IF(INDEX('ETAPA OBRA'!U:U,MATCH($B115,'ETAPA OBRA'!$B:$B,0))="x",'ETAPA OBRA'!U$1&amp;", ","")
)-2),"")</f>
        <v>Elaboração de cronograma</v>
      </c>
      <c r="N115" s="23" t="str">
        <f t="shared" ca="1" si="14"/>
        <v>Em andamento</v>
      </c>
      <c r="O115" s="28">
        <v>19917.16</v>
      </c>
      <c r="P115" s="37">
        <f t="shared" si="10"/>
        <v>0</v>
      </c>
      <c r="Q115" s="28">
        <f t="shared" si="15"/>
        <v>19917.16</v>
      </c>
      <c r="R115" s="29">
        <f t="shared" si="16"/>
        <v>1</v>
      </c>
      <c r="S115" s="23" t="str">
        <f t="shared" si="17"/>
        <v>✅ OK - Fechar Parceiro</v>
      </c>
      <c r="T115" s="23" t="str">
        <f ca="1">Cronograma[[#This Row],[STATUS]]</f>
        <v>🕓 EM ANDAMENTO</v>
      </c>
    </row>
    <row r="116" spans="1:20" ht="15" customHeight="1" x14ac:dyDescent="0.3">
      <c r="A116" s="23" t="s">
        <v>357</v>
      </c>
      <c r="B116" s="23" t="str">
        <f>IF(A116&lt;&gt;"","contel-"&amp;TEXT(COUNTA($A$2:A116),"00"),"")</f>
        <v>contel-115</v>
      </c>
      <c r="C116" s="23" t="s">
        <v>120</v>
      </c>
      <c r="D116" s="23" t="s">
        <v>358</v>
      </c>
      <c r="E116" s="23" t="s">
        <v>302</v>
      </c>
      <c r="F116" s="52" t="s">
        <v>359</v>
      </c>
      <c r="G116" s="23">
        <v>1759</v>
      </c>
      <c r="H116" s="30">
        <v>27215</v>
      </c>
      <c r="I116" s="23" t="s">
        <v>297</v>
      </c>
      <c r="J116" s="25">
        <f>SUM(EQUIPE!C116,EQUIPE!E116,EQUIPE!G116,EQUIPE!I116,EQUIPE!K116,EQUIPE!M116,EQUIPE!O116)</f>
        <v>3500</v>
      </c>
      <c r="K116" s="25">
        <v>0</v>
      </c>
      <c r="L116" s="25">
        <v>0</v>
      </c>
      <c r="M116" s="27" t="str">
        <f ca="1">IFERROR(LEFT(
IF(INDEX('ETAPA OBRA'!C:C,MATCH($B116,'ETAPA OBRA'!$B:$B,0))="x",'ETAPA OBRA'!C$1&amp;", ","")&amp;
IF(INDEX('ETAPA OBRA'!D:D,MATCH($B116,'ETAPA OBRA'!$B:$B,0))="x",'ETAPA OBRA'!D$1&amp;", ","")&amp;
IF(INDEX('ETAPA OBRA'!F:F,MATCH($B116,'ETAPA OBRA'!$B:$B,0))="x",'ETAPA OBRA'!F$1&amp;", ","")&amp;
IF(INDEX('ETAPA OBRA'!G:G,MATCH($B116,'ETAPA OBRA'!$B:$B,0))="x",'ETAPA OBRA'!G$1&amp;", ","")&amp;
IF(INDEX('ETAPA OBRA'!H:H,MATCH($B116,'ETAPA OBRA'!$B:$B,0))="x",'ETAPA OBRA'!H$1&amp;", ","")&amp;
IF(INDEX('ETAPA OBRA'!I:I,MATCH($B116,'ETAPA OBRA'!$B:$B,0))="x",'ETAPA OBRA'!I$1&amp;", ","")&amp;
IF(INDEX('ETAPA OBRA'!J:J,MATCH($B116,'ETAPA OBRA'!$B:$B,0))="x",'ETAPA OBRA'!J$1&amp;", ","")&amp;
IF(INDEX('ETAPA OBRA'!K:K,MATCH($B116,'ETAPA OBRA'!$B:$B,0))="x",'ETAPA OBRA'!K$1&amp;", ","")&amp;
IF(INDEX('ETAPA OBRA'!L:L,MATCH($B116,'ETAPA OBRA'!$B:$B,0))="x",'ETAPA OBRA'!L$1&amp;", ","")&amp;
IF(INDEX('ETAPA OBRA'!M:M,MATCH($B116,'ETAPA OBRA'!$B:$B,0))="x",'ETAPA OBRA'!M$1&amp;", ","")&amp;
IF(INDEX('ETAPA OBRA'!N:N,MATCH($B116,'ETAPA OBRA'!$B:$B,0))="x",'ETAPA OBRA'!N$1&amp;", ","")&amp;
IF(INDEX('ETAPA OBRA'!O:O,MATCH($B116,'ETAPA OBRA'!$B:$B,0))="x",'ETAPA OBRA'!O$1&amp;", ","")&amp;
IF(INDEX('ETAPA OBRA'!P:P,MATCH($B116,'ETAPA OBRA'!$B:$B,0))="x",'ETAPA OBRA'!P$1&amp;", ","")&amp;
IF(INDEX('ETAPA OBRA'!Q:Q,MATCH($B116,'ETAPA OBRA'!$B:$B,0))="x",'ETAPA OBRA'!Q$1&amp;", ","")&amp;
IF(INDEX('ETAPA OBRA'!R:R,MATCH($B116,'ETAPA OBRA'!$B:$B,0))="x",'ETAPA OBRA'!R$1&amp;", ","")&amp;
IF(INDEX('ETAPA OBRA'!S:S,MATCH($B116,'ETAPA OBRA'!$B:$B,0))="x",'ETAPA OBRA'!S$1&amp;", ","")&amp;
IF(INDEX('ETAPA OBRA'!T:T,MATCH($B116,'ETAPA OBRA'!$B:$B,0))="x",'ETAPA OBRA'!T$1&amp;", ","")&amp;
IF(INDEX('ETAPA OBRA'!U:U,MATCH($B116,'ETAPA OBRA'!$B:$B,0))="x",'ETAPA OBRA'!U$1&amp;", ",""),LEN(
IF(INDEX('ETAPA OBRA'!C:C,MATCH($B116,'ETAPA OBRA'!$B:$B,0))="x",'ETAPA OBRA'!C$1&amp;", ","")&amp;
IF(INDEX('ETAPA OBRA'!D:D,MATCH($B116,'ETAPA OBRA'!$B:$B,0))="x",'ETAPA OBRA'!D$1&amp;", ","")&amp;
IF(INDEX('ETAPA OBRA'!F:F,MATCH($B116,'ETAPA OBRA'!$B:$B,0))="x",'ETAPA OBRA'!F$1&amp;", ","")&amp;
IF(INDEX('ETAPA OBRA'!G:G,MATCH($B116,'ETAPA OBRA'!$B:$B,0))="x",'ETAPA OBRA'!G$1&amp;", ","")&amp;
IF(INDEX('ETAPA OBRA'!H:H,MATCH($B116,'ETAPA OBRA'!$B:$B,0))="x",'ETAPA OBRA'!H$1&amp;", ","")&amp;
IF(INDEX('ETAPA OBRA'!I:I,MATCH($B116,'ETAPA OBRA'!$B:$B,0))="x",'ETAPA OBRA'!I$1&amp;", ","")&amp;
IF(INDEX('ETAPA OBRA'!J:J,MATCH($B116,'ETAPA OBRA'!$B:$B,0))="x",'ETAPA OBRA'!J$1&amp;", ","")&amp;
IF(INDEX('ETAPA OBRA'!K:K,MATCH($B116,'ETAPA OBRA'!$B:$B,0))="x",'ETAPA OBRA'!K$1&amp;", ","")&amp;
IF(INDEX('ETAPA OBRA'!L:L,MATCH($B116,'ETAPA OBRA'!$B:$B,0))="x",'ETAPA OBRA'!L$1&amp;", ","")&amp;
IF(INDEX('ETAPA OBRA'!M:M,MATCH($B116,'ETAPA OBRA'!$B:$B,0))="x",'ETAPA OBRA'!M$1&amp;", ","")&amp;
IF(INDEX('ETAPA OBRA'!N:N,MATCH($B116,'ETAPA OBRA'!$B:$B,0))="x",'ETAPA OBRA'!N$1&amp;", ","")&amp;
IF(INDEX('ETAPA OBRA'!O:O,MATCH($B116,'ETAPA OBRA'!$B:$B,0))="x",'ETAPA OBRA'!O$1&amp;", ","")&amp;
IF(INDEX('ETAPA OBRA'!P:P,MATCH($B116,'ETAPA OBRA'!$B:$B,0))="x",'ETAPA OBRA'!P$1&amp;", ","")&amp;
IF(INDEX('ETAPA OBRA'!Q:Q,MATCH($B116,'ETAPA OBRA'!$B:$B,0))="x",'ETAPA OBRA'!Q$1&amp;", ","")&amp;
IF(INDEX('ETAPA OBRA'!R:R,MATCH($B116,'ETAPA OBRA'!$B:$B,0))="x",'ETAPA OBRA'!R$1&amp;", ","")&amp;
IF(INDEX('ETAPA OBRA'!S:S,MATCH($B116,'ETAPA OBRA'!$B:$B,0))="x",'ETAPA OBRA'!S$1&amp;", ","")&amp;
IF(INDEX('ETAPA OBRA'!T:T,MATCH($B116,'ETAPA OBRA'!$B:$B,0))="x",'ETAPA OBRA'!T$1&amp;", ","")&amp;
IF(INDEX('ETAPA OBRA'!U:U,MATCH($B116,'ETAPA OBRA'!$B:$B,0))="x",'ETAPA OBRA'!U$1&amp;", ","")
)-2),"")</f>
        <v>Abertura de obra, Elaboração de cronograma, Compra de material, Fabricação / Galvanização, Envio de material</v>
      </c>
      <c r="N116" s="23" t="str">
        <f t="shared" ca="1" si="14"/>
        <v>Em andamento</v>
      </c>
      <c r="O116" s="28">
        <v>10355.049999999999</v>
      </c>
      <c r="P116" s="37">
        <f t="shared" si="10"/>
        <v>3500</v>
      </c>
      <c r="Q116" s="28">
        <f t="shared" si="15"/>
        <v>6855.0499999999993</v>
      </c>
      <c r="R116" s="29">
        <f t="shared" si="16"/>
        <v>0.66200066634154342</v>
      </c>
      <c r="S116" s="23" t="str">
        <f t="shared" si="17"/>
        <v>✅ OK - Fechar Parceiro</v>
      </c>
      <c r="T116" s="23" t="str">
        <f ca="1">Cronograma[[#This Row],[STATUS]]</f>
        <v>🕓 EM ANDAMENTO</v>
      </c>
    </row>
    <row r="117" spans="1:20" ht="15" customHeight="1" x14ac:dyDescent="0.3">
      <c r="A117" s="23" t="s">
        <v>360</v>
      </c>
      <c r="B117" s="23" t="str">
        <f>IF(A117&lt;&gt;"","contel-"&amp;TEXT(COUNTA($A$2:A117),"00"),"")</f>
        <v>contel-116</v>
      </c>
      <c r="C117" s="23" t="s">
        <v>120</v>
      </c>
      <c r="D117" s="23" t="s">
        <v>344</v>
      </c>
      <c r="E117" s="23" t="s">
        <v>309</v>
      </c>
      <c r="F117" s="52" t="s">
        <v>361</v>
      </c>
      <c r="G117" s="23">
        <v>1718</v>
      </c>
      <c r="H117" s="30">
        <v>3806</v>
      </c>
      <c r="I117" s="23" t="s">
        <v>297</v>
      </c>
      <c r="J117" s="25">
        <f>SUM(EQUIPE!C117,EQUIPE!E117,EQUIPE!G117,EQUIPE!I117,EQUIPE!K117,EQUIPE!M117,EQUIPE!O117)</f>
        <v>0</v>
      </c>
      <c r="K117" s="25">
        <v>0</v>
      </c>
      <c r="L117" s="25">
        <v>0</v>
      </c>
      <c r="M117" s="27" t="str">
        <f ca="1">IFERROR(LEFT(
IF(INDEX('ETAPA OBRA'!C:C,MATCH($B117,'ETAPA OBRA'!$B:$B,0))="x",'ETAPA OBRA'!C$1&amp;", ","")&amp;
IF(INDEX('ETAPA OBRA'!D:D,MATCH($B117,'ETAPA OBRA'!$B:$B,0))="x",'ETAPA OBRA'!D$1&amp;", ","")&amp;
IF(INDEX('ETAPA OBRA'!F:F,MATCH($B117,'ETAPA OBRA'!$B:$B,0))="x",'ETAPA OBRA'!F$1&amp;", ","")&amp;
IF(INDEX('ETAPA OBRA'!G:G,MATCH($B117,'ETAPA OBRA'!$B:$B,0))="x",'ETAPA OBRA'!G$1&amp;", ","")&amp;
IF(INDEX('ETAPA OBRA'!H:H,MATCH($B117,'ETAPA OBRA'!$B:$B,0))="x",'ETAPA OBRA'!H$1&amp;", ","")&amp;
IF(INDEX('ETAPA OBRA'!I:I,MATCH($B117,'ETAPA OBRA'!$B:$B,0))="x",'ETAPA OBRA'!I$1&amp;", ","")&amp;
IF(INDEX('ETAPA OBRA'!J:J,MATCH($B117,'ETAPA OBRA'!$B:$B,0))="x",'ETAPA OBRA'!J$1&amp;", ","")&amp;
IF(INDEX('ETAPA OBRA'!K:K,MATCH($B117,'ETAPA OBRA'!$B:$B,0))="x",'ETAPA OBRA'!K$1&amp;", ","")&amp;
IF(INDEX('ETAPA OBRA'!L:L,MATCH($B117,'ETAPA OBRA'!$B:$B,0))="x",'ETAPA OBRA'!L$1&amp;", ","")&amp;
IF(INDEX('ETAPA OBRA'!M:M,MATCH($B117,'ETAPA OBRA'!$B:$B,0))="x",'ETAPA OBRA'!M$1&amp;", ","")&amp;
IF(INDEX('ETAPA OBRA'!N:N,MATCH($B117,'ETAPA OBRA'!$B:$B,0))="x",'ETAPA OBRA'!N$1&amp;", ","")&amp;
IF(INDEX('ETAPA OBRA'!O:O,MATCH($B117,'ETAPA OBRA'!$B:$B,0))="x",'ETAPA OBRA'!O$1&amp;", ","")&amp;
IF(INDEX('ETAPA OBRA'!P:P,MATCH($B117,'ETAPA OBRA'!$B:$B,0))="x",'ETAPA OBRA'!P$1&amp;", ","")&amp;
IF(INDEX('ETAPA OBRA'!Q:Q,MATCH($B117,'ETAPA OBRA'!$B:$B,0))="x",'ETAPA OBRA'!Q$1&amp;", ","")&amp;
IF(INDEX('ETAPA OBRA'!R:R,MATCH($B117,'ETAPA OBRA'!$B:$B,0))="x",'ETAPA OBRA'!R$1&amp;", ","")&amp;
IF(INDEX('ETAPA OBRA'!S:S,MATCH($B117,'ETAPA OBRA'!$B:$B,0))="x",'ETAPA OBRA'!S$1&amp;", ","")&amp;
IF(INDEX('ETAPA OBRA'!T:T,MATCH($B117,'ETAPA OBRA'!$B:$B,0))="x",'ETAPA OBRA'!T$1&amp;", ","")&amp;
IF(INDEX('ETAPA OBRA'!U:U,MATCH($B117,'ETAPA OBRA'!$B:$B,0))="x",'ETAPA OBRA'!U$1&amp;", ",""),LEN(
IF(INDEX('ETAPA OBRA'!C:C,MATCH($B117,'ETAPA OBRA'!$B:$B,0))="x",'ETAPA OBRA'!C$1&amp;", ","")&amp;
IF(INDEX('ETAPA OBRA'!D:D,MATCH($B117,'ETAPA OBRA'!$B:$B,0))="x",'ETAPA OBRA'!D$1&amp;", ","")&amp;
IF(INDEX('ETAPA OBRA'!F:F,MATCH($B117,'ETAPA OBRA'!$B:$B,0))="x",'ETAPA OBRA'!F$1&amp;", ","")&amp;
IF(INDEX('ETAPA OBRA'!G:G,MATCH($B117,'ETAPA OBRA'!$B:$B,0))="x",'ETAPA OBRA'!G$1&amp;", ","")&amp;
IF(INDEX('ETAPA OBRA'!H:H,MATCH($B117,'ETAPA OBRA'!$B:$B,0))="x",'ETAPA OBRA'!H$1&amp;", ","")&amp;
IF(INDEX('ETAPA OBRA'!I:I,MATCH($B117,'ETAPA OBRA'!$B:$B,0))="x",'ETAPA OBRA'!I$1&amp;", ","")&amp;
IF(INDEX('ETAPA OBRA'!J:J,MATCH($B117,'ETAPA OBRA'!$B:$B,0))="x",'ETAPA OBRA'!J$1&amp;", ","")&amp;
IF(INDEX('ETAPA OBRA'!K:K,MATCH($B117,'ETAPA OBRA'!$B:$B,0))="x",'ETAPA OBRA'!K$1&amp;", ","")&amp;
IF(INDEX('ETAPA OBRA'!L:L,MATCH($B117,'ETAPA OBRA'!$B:$B,0))="x",'ETAPA OBRA'!L$1&amp;", ","")&amp;
IF(INDEX('ETAPA OBRA'!M:M,MATCH($B117,'ETAPA OBRA'!$B:$B,0))="x",'ETAPA OBRA'!M$1&amp;", ","")&amp;
IF(INDEX('ETAPA OBRA'!N:N,MATCH($B117,'ETAPA OBRA'!$B:$B,0))="x",'ETAPA OBRA'!N$1&amp;", ","")&amp;
IF(INDEX('ETAPA OBRA'!O:O,MATCH($B117,'ETAPA OBRA'!$B:$B,0))="x",'ETAPA OBRA'!O$1&amp;", ","")&amp;
IF(INDEX('ETAPA OBRA'!P:P,MATCH($B117,'ETAPA OBRA'!$B:$B,0))="x",'ETAPA OBRA'!P$1&amp;", ","")&amp;
IF(INDEX('ETAPA OBRA'!Q:Q,MATCH($B117,'ETAPA OBRA'!$B:$B,0))="x",'ETAPA OBRA'!Q$1&amp;", ","")&amp;
IF(INDEX('ETAPA OBRA'!R:R,MATCH($B117,'ETAPA OBRA'!$B:$B,0))="x",'ETAPA OBRA'!R$1&amp;", ","")&amp;
IF(INDEX('ETAPA OBRA'!S:S,MATCH($B117,'ETAPA OBRA'!$B:$B,0))="x",'ETAPA OBRA'!S$1&amp;", ","")&amp;
IF(INDEX('ETAPA OBRA'!T:T,MATCH($B117,'ETAPA OBRA'!$B:$B,0))="x",'ETAPA OBRA'!T$1&amp;", ","")&amp;
IF(INDEX('ETAPA OBRA'!U:U,MATCH($B117,'ETAPA OBRA'!$B:$B,0))="x",'ETAPA OBRA'!U$1&amp;", ","")
)-2),"")</f>
        <v>Elaboração de cronograma</v>
      </c>
      <c r="N117" s="23" t="str">
        <f t="shared" ca="1" si="14"/>
        <v>Em andamento</v>
      </c>
      <c r="O117" s="28">
        <v>57027.35</v>
      </c>
      <c r="P117" s="37">
        <f t="shared" si="10"/>
        <v>0</v>
      </c>
      <c r="Q117" s="28">
        <f t="shared" si="15"/>
        <v>57027.35</v>
      </c>
      <c r="R117" s="29">
        <f t="shared" si="16"/>
        <v>1</v>
      </c>
      <c r="S117" s="23" t="str">
        <f t="shared" si="17"/>
        <v>✅ OK - Fechar Parceiro</v>
      </c>
      <c r="T117" s="23" t="str">
        <f ca="1">Cronograma[[#This Row],[STATUS]]</f>
        <v>🕓 EM ANDAMENTO</v>
      </c>
    </row>
    <row r="118" spans="1:20" ht="15" customHeight="1" x14ac:dyDescent="0.3">
      <c r="A118" s="23" t="s">
        <v>362</v>
      </c>
      <c r="B118" s="23" t="str">
        <f>IF(A118&lt;&gt;"","contel-"&amp;TEXT(COUNTA($A$2:A118),"00"),"")</f>
        <v>contel-117</v>
      </c>
      <c r="C118" s="23" t="s">
        <v>120</v>
      </c>
      <c r="D118" s="23" t="s">
        <v>363</v>
      </c>
      <c r="E118" s="23" t="s">
        <v>32</v>
      </c>
      <c r="F118" s="52" t="s">
        <v>364</v>
      </c>
      <c r="G118" s="23">
        <v>1780</v>
      </c>
      <c r="H118" s="30">
        <v>16196</v>
      </c>
      <c r="I118" s="23" t="s">
        <v>297</v>
      </c>
      <c r="J118" s="25">
        <f>SUM(EQUIPE!C118,EQUIPE!E118,EQUIPE!G118,EQUIPE!I118,EQUIPE!K118,EQUIPE!M118,EQUIPE!O118)</f>
        <v>13000</v>
      </c>
      <c r="K118" s="25">
        <v>0</v>
      </c>
      <c r="L118" s="25">
        <v>0</v>
      </c>
      <c r="M118" s="27" t="str">
        <f ca="1">IFERROR(LEFT(
IF(INDEX('ETAPA OBRA'!C:C,MATCH($B118,'ETAPA OBRA'!$B:$B,0))="x",'ETAPA OBRA'!C$1&amp;", ","")&amp;
IF(INDEX('ETAPA OBRA'!D:D,MATCH($B118,'ETAPA OBRA'!$B:$B,0))="x",'ETAPA OBRA'!D$1&amp;", ","")&amp;
IF(INDEX('ETAPA OBRA'!F:F,MATCH($B118,'ETAPA OBRA'!$B:$B,0))="x",'ETAPA OBRA'!F$1&amp;", ","")&amp;
IF(INDEX('ETAPA OBRA'!G:G,MATCH($B118,'ETAPA OBRA'!$B:$B,0))="x",'ETAPA OBRA'!G$1&amp;", ","")&amp;
IF(INDEX('ETAPA OBRA'!H:H,MATCH($B118,'ETAPA OBRA'!$B:$B,0))="x",'ETAPA OBRA'!H$1&amp;", ","")&amp;
IF(INDEX('ETAPA OBRA'!I:I,MATCH($B118,'ETAPA OBRA'!$B:$B,0))="x",'ETAPA OBRA'!I$1&amp;", ","")&amp;
IF(INDEX('ETAPA OBRA'!J:J,MATCH($B118,'ETAPA OBRA'!$B:$B,0))="x",'ETAPA OBRA'!J$1&amp;", ","")&amp;
IF(INDEX('ETAPA OBRA'!K:K,MATCH($B118,'ETAPA OBRA'!$B:$B,0))="x",'ETAPA OBRA'!K$1&amp;", ","")&amp;
IF(INDEX('ETAPA OBRA'!L:L,MATCH($B118,'ETAPA OBRA'!$B:$B,0))="x",'ETAPA OBRA'!L$1&amp;", ","")&amp;
IF(INDEX('ETAPA OBRA'!M:M,MATCH($B118,'ETAPA OBRA'!$B:$B,0))="x",'ETAPA OBRA'!M$1&amp;", ","")&amp;
IF(INDEX('ETAPA OBRA'!N:N,MATCH($B118,'ETAPA OBRA'!$B:$B,0))="x",'ETAPA OBRA'!N$1&amp;", ","")&amp;
IF(INDEX('ETAPA OBRA'!O:O,MATCH($B118,'ETAPA OBRA'!$B:$B,0))="x",'ETAPA OBRA'!O$1&amp;", ","")&amp;
IF(INDEX('ETAPA OBRA'!P:P,MATCH($B118,'ETAPA OBRA'!$B:$B,0))="x",'ETAPA OBRA'!P$1&amp;", ","")&amp;
IF(INDEX('ETAPA OBRA'!Q:Q,MATCH($B118,'ETAPA OBRA'!$B:$B,0))="x",'ETAPA OBRA'!Q$1&amp;", ","")&amp;
IF(INDEX('ETAPA OBRA'!R:R,MATCH($B118,'ETAPA OBRA'!$B:$B,0))="x",'ETAPA OBRA'!R$1&amp;", ","")&amp;
IF(INDEX('ETAPA OBRA'!S:S,MATCH($B118,'ETAPA OBRA'!$B:$B,0))="x",'ETAPA OBRA'!S$1&amp;", ","")&amp;
IF(INDEX('ETAPA OBRA'!T:T,MATCH($B118,'ETAPA OBRA'!$B:$B,0))="x",'ETAPA OBRA'!T$1&amp;", ","")&amp;
IF(INDEX('ETAPA OBRA'!U:U,MATCH($B118,'ETAPA OBRA'!$B:$B,0))="x",'ETAPA OBRA'!U$1&amp;", ",""),LEN(
IF(INDEX('ETAPA OBRA'!C:C,MATCH($B118,'ETAPA OBRA'!$B:$B,0))="x",'ETAPA OBRA'!C$1&amp;", ","")&amp;
IF(INDEX('ETAPA OBRA'!D:D,MATCH($B118,'ETAPA OBRA'!$B:$B,0))="x",'ETAPA OBRA'!D$1&amp;", ","")&amp;
IF(INDEX('ETAPA OBRA'!F:F,MATCH($B118,'ETAPA OBRA'!$B:$B,0))="x",'ETAPA OBRA'!F$1&amp;", ","")&amp;
IF(INDEX('ETAPA OBRA'!G:G,MATCH($B118,'ETAPA OBRA'!$B:$B,0))="x",'ETAPA OBRA'!G$1&amp;", ","")&amp;
IF(INDEX('ETAPA OBRA'!H:H,MATCH($B118,'ETAPA OBRA'!$B:$B,0))="x",'ETAPA OBRA'!H$1&amp;", ","")&amp;
IF(INDEX('ETAPA OBRA'!I:I,MATCH($B118,'ETAPA OBRA'!$B:$B,0))="x",'ETAPA OBRA'!I$1&amp;", ","")&amp;
IF(INDEX('ETAPA OBRA'!J:J,MATCH($B118,'ETAPA OBRA'!$B:$B,0))="x",'ETAPA OBRA'!J$1&amp;", ","")&amp;
IF(INDEX('ETAPA OBRA'!K:K,MATCH($B118,'ETAPA OBRA'!$B:$B,0))="x",'ETAPA OBRA'!K$1&amp;", ","")&amp;
IF(INDEX('ETAPA OBRA'!L:L,MATCH($B118,'ETAPA OBRA'!$B:$B,0))="x",'ETAPA OBRA'!L$1&amp;", ","")&amp;
IF(INDEX('ETAPA OBRA'!M:M,MATCH($B118,'ETAPA OBRA'!$B:$B,0))="x",'ETAPA OBRA'!M$1&amp;", ","")&amp;
IF(INDEX('ETAPA OBRA'!N:N,MATCH($B118,'ETAPA OBRA'!$B:$B,0))="x",'ETAPA OBRA'!N$1&amp;", ","")&amp;
IF(INDEX('ETAPA OBRA'!O:O,MATCH($B118,'ETAPA OBRA'!$B:$B,0))="x",'ETAPA OBRA'!O$1&amp;", ","")&amp;
IF(INDEX('ETAPA OBRA'!P:P,MATCH($B118,'ETAPA OBRA'!$B:$B,0))="x",'ETAPA OBRA'!P$1&amp;", ","")&amp;
IF(INDEX('ETAPA OBRA'!Q:Q,MATCH($B118,'ETAPA OBRA'!$B:$B,0))="x",'ETAPA OBRA'!Q$1&amp;", ","")&amp;
IF(INDEX('ETAPA OBRA'!R:R,MATCH($B118,'ETAPA OBRA'!$B:$B,0))="x",'ETAPA OBRA'!R$1&amp;", ","")&amp;
IF(INDEX('ETAPA OBRA'!S:S,MATCH($B118,'ETAPA OBRA'!$B:$B,0))="x",'ETAPA OBRA'!S$1&amp;", ","")&amp;
IF(INDEX('ETAPA OBRA'!T:T,MATCH($B118,'ETAPA OBRA'!$B:$B,0))="x",'ETAPA OBRA'!T$1&amp;", ","")&amp;
IF(INDEX('ETAPA OBRA'!U:U,MATCH($B118,'ETAPA OBRA'!$B:$B,0))="x",'ETAPA OBRA'!U$1&amp;", ","")
)-2),"")</f>
        <v>Elaboração de cronograma, Execução</v>
      </c>
      <c r="N118" s="23" t="str">
        <f t="shared" ca="1" si="14"/>
        <v>Em andamento</v>
      </c>
      <c r="O118" s="28">
        <v>23690.51</v>
      </c>
      <c r="P118" s="37">
        <f t="shared" si="10"/>
        <v>13000</v>
      </c>
      <c r="Q118" s="28">
        <f t="shared" si="15"/>
        <v>10690.509999999998</v>
      </c>
      <c r="R118" s="29">
        <f t="shared" si="16"/>
        <v>0.45125706453765663</v>
      </c>
      <c r="S118" s="23" t="str">
        <f t="shared" si="17"/>
        <v>✅ OK - Fechar Parceiro</v>
      </c>
      <c r="T118" s="23" t="str">
        <f ca="1">Cronograma[[#This Row],[STATUS]]</f>
        <v>🕓 EM ANDAMENTO</v>
      </c>
    </row>
    <row r="119" spans="1:20" ht="15" customHeight="1" x14ac:dyDescent="0.3">
      <c r="A119" s="23" t="s">
        <v>365</v>
      </c>
      <c r="B119" s="23" t="str">
        <f>IF(A119&lt;&gt;"","contel-"&amp;TEXT(COUNTA($A$2:A119),"00"),"")</f>
        <v>contel-118</v>
      </c>
      <c r="C119" s="23" t="s">
        <v>120</v>
      </c>
      <c r="D119" s="23" t="s">
        <v>366</v>
      </c>
      <c r="E119" s="23" t="s">
        <v>302</v>
      </c>
      <c r="F119" s="52" t="s">
        <v>367</v>
      </c>
      <c r="G119" s="23">
        <v>1775</v>
      </c>
      <c r="H119" s="30">
        <v>16112</v>
      </c>
      <c r="I119" s="23" t="s">
        <v>297</v>
      </c>
      <c r="J119" s="25">
        <f>SUM(EQUIPE!C119,EQUIPE!E119,EQUIPE!G119,EQUIPE!I119,EQUIPE!K119,EQUIPE!M119,EQUIPE!O119)</f>
        <v>0</v>
      </c>
      <c r="K119" s="25">
        <v>0</v>
      </c>
      <c r="L119" s="25">
        <v>0</v>
      </c>
      <c r="M119" s="27" t="str">
        <f ca="1">IFERROR(LEFT(
IF(INDEX('ETAPA OBRA'!C:C,MATCH($B119,'ETAPA OBRA'!$B:$B,0))="x",'ETAPA OBRA'!C$1&amp;", ","")&amp;
IF(INDEX('ETAPA OBRA'!D:D,MATCH($B119,'ETAPA OBRA'!$B:$B,0))="x",'ETAPA OBRA'!D$1&amp;", ","")&amp;
IF(INDEX('ETAPA OBRA'!F:F,MATCH($B119,'ETAPA OBRA'!$B:$B,0))="x",'ETAPA OBRA'!F$1&amp;", ","")&amp;
IF(INDEX('ETAPA OBRA'!G:G,MATCH($B119,'ETAPA OBRA'!$B:$B,0))="x",'ETAPA OBRA'!G$1&amp;", ","")&amp;
IF(INDEX('ETAPA OBRA'!H:H,MATCH($B119,'ETAPA OBRA'!$B:$B,0))="x",'ETAPA OBRA'!H$1&amp;", ","")&amp;
IF(INDEX('ETAPA OBRA'!I:I,MATCH($B119,'ETAPA OBRA'!$B:$B,0))="x",'ETAPA OBRA'!I$1&amp;", ","")&amp;
IF(INDEX('ETAPA OBRA'!J:J,MATCH($B119,'ETAPA OBRA'!$B:$B,0))="x",'ETAPA OBRA'!J$1&amp;", ","")&amp;
IF(INDEX('ETAPA OBRA'!K:K,MATCH($B119,'ETAPA OBRA'!$B:$B,0))="x",'ETAPA OBRA'!K$1&amp;", ","")&amp;
IF(INDEX('ETAPA OBRA'!L:L,MATCH($B119,'ETAPA OBRA'!$B:$B,0))="x",'ETAPA OBRA'!L$1&amp;", ","")&amp;
IF(INDEX('ETAPA OBRA'!M:M,MATCH($B119,'ETAPA OBRA'!$B:$B,0))="x",'ETAPA OBRA'!M$1&amp;", ","")&amp;
IF(INDEX('ETAPA OBRA'!N:N,MATCH($B119,'ETAPA OBRA'!$B:$B,0))="x",'ETAPA OBRA'!N$1&amp;", ","")&amp;
IF(INDEX('ETAPA OBRA'!O:O,MATCH($B119,'ETAPA OBRA'!$B:$B,0))="x",'ETAPA OBRA'!O$1&amp;", ","")&amp;
IF(INDEX('ETAPA OBRA'!P:P,MATCH($B119,'ETAPA OBRA'!$B:$B,0))="x",'ETAPA OBRA'!P$1&amp;", ","")&amp;
IF(INDEX('ETAPA OBRA'!Q:Q,MATCH($B119,'ETAPA OBRA'!$B:$B,0))="x",'ETAPA OBRA'!Q$1&amp;", ","")&amp;
IF(INDEX('ETAPA OBRA'!R:R,MATCH($B119,'ETAPA OBRA'!$B:$B,0))="x",'ETAPA OBRA'!R$1&amp;", ","")&amp;
IF(INDEX('ETAPA OBRA'!S:S,MATCH($B119,'ETAPA OBRA'!$B:$B,0))="x",'ETAPA OBRA'!S$1&amp;", ","")&amp;
IF(INDEX('ETAPA OBRA'!T:T,MATCH($B119,'ETAPA OBRA'!$B:$B,0))="x",'ETAPA OBRA'!T$1&amp;", ","")&amp;
IF(INDEX('ETAPA OBRA'!U:U,MATCH($B119,'ETAPA OBRA'!$B:$B,0))="x",'ETAPA OBRA'!U$1&amp;", ",""),LEN(
IF(INDEX('ETAPA OBRA'!C:C,MATCH($B119,'ETAPA OBRA'!$B:$B,0))="x",'ETAPA OBRA'!C$1&amp;", ","")&amp;
IF(INDEX('ETAPA OBRA'!D:D,MATCH($B119,'ETAPA OBRA'!$B:$B,0))="x",'ETAPA OBRA'!D$1&amp;", ","")&amp;
IF(INDEX('ETAPA OBRA'!F:F,MATCH($B119,'ETAPA OBRA'!$B:$B,0))="x",'ETAPA OBRA'!F$1&amp;", ","")&amp;
IF(INDEX('ETAPA OBRA'!G:G,MATCH($B119,'ETAPA OBRA'!$B:$B,0))="x",'ETAPA OBRA'!G$1&amp;", ","")&amp;
IF(INDEX('ETAPA OBRA'!H:H,MATCH($B119,'ETAPA OBRA'!$B:$B,0))="x",'ETAPA OBRA'!H$1&amp;", ","")&amp;
IF(INDEX('ETAPA OBRA'!I:I,MATCH($B119,'ETAPA OBRA'!$B:$B,0))="x",'ETAPA OBRA'!I$1&amp;", ","")&amp;
IF(INDEX('ETAPA OBRA'!J:J,MATCH($B119,'ETAPA OBRA'!$B:$B,0))="x",'ETAPA OBRA'!J$1&amp;", ","")&amp;
IF(INDEX('ETAPA OBRA'!K:K,MATCH($B119,'ETAPA OBRA'!$B:$B,0))="x",'ETAPA OBRA'!K$1&amp;", ","")&amp;
IF(INDEX('ETAPA OBRA'!L:L,MATCH($B119,'ETAPA OBRA'!$B:$B,0))="x",'ETAPA OBRA'!L$1&amp;", ","")&amp;
IF(INDEX('ETAPA OBRA'!M:M,MATCH($B119,'ETAPA OBRA'!$B:$B,0))="x",'ETAPA OBRA'!M$1&amp;", ","")&amp;
IF(INDEX('ETAPA OBRA'!N:N,MATCH($B119,'ETAPA OBRA'!$B:$B,0))="x",'ETAPA OBRA'!N$1&amp;", ","")&amp;
IF(INDEX('ETAPA OBRA'!O:O,MATCH($B119,'ETAPA OBRA'!$B:$B,0))="x",'ETAPA OBRA'!O$1&amp;", ","")&amp;
IF(INDEX('ETAPA OBRA'!P:P,MATCH($B119,'ETAPA OBRA'!$B:$B,0))="x",'ETAPA OBRA'!P$1&amp;", ","")&amp;
IF(INDEX('ETAPA OBRA'!Q:Q,MATCH($B119,'ETAPA OBRA'!$B:$B,0))="x",'ETAPA OBRA'!Q$1&amp;", ","")&amp;
IF(INDEX('ETAPA OBRA'!R:R,MATCH($B119,'ETAPA OBRA'!$B:$B,0))="x",'ETAPA OBRA'!R$1&amp;", ","")&amp;
IF(INDEX('ETAPA OBRA'!S:S,MATCH($B119,'ETAPA OBRA'!$B:$B,0))="x",'ETAPA OBRA'!S$1&amp;", ","")&amp;
IF(INDEX('ETAPA OBRA'!T:T,MATCH($B119,'ETAPA OBRA'!$B:$B,0))="x",'ETAPA OBRA'!T$1&amp;", ","")&amp;
IF(INDEX('ETAPA OBRA'!U:U,MATCH($B119,'ETAPA OBRA'!$B:$B,0))="x",'ETAPA OBRA'!U$1&amp;", ","")
)-2),"")</f>
        <v>Elaboração de cronograma</v>
      </c>
      <c r="N119" s="23" t="str">
        <f t="shared" ca="1" si="14"/>
        <v>Em andamento</v>
      </c>
      <c r="O119" s="28">
        <v>12221.4</v>
      </c>
      <c r="P119" s="37">
        <f t="shared" si="10"/>
        <v>0</v>
      </c>
      <c r="Q119" s="28">
        <f t="shared" si="15"/>
        <v>12221.4</v>
      </c>
      <c r="R119" s="29">
        <f t="shared" si="16"/>
        <v>1</v>
      </c>
      <c r="S119" s="23" t="str">
        <f t="shared" si="17"/>
        <v>✅ OK - Fechar Parceiro</v>
      </c>
      <c r="T119" s="23" t="str">
        <f ca="1">Cronograma[[#This Row],[STATUS]]</f>
        <v>🕓 EM ANDAMENTO</v>
      </c>
    </row>
    <row r="120" spans="1:20" ht="15" customHeight="1" x14ac:dyDescent="0.3">
      <c r="A120" s="23" t="s">
        <v>368</v>
      </c>
      <c r="B120" s="23" t="str">
        <f>IF(A120&lt;&gt;"","contel-"&amp;TEXT(COUNTA($A$2:A120),"00"),"")</f>
        <v>contel-119</v>
      </c>
      <c r="C120" s="23" t="s">
        <v>120</v>
      </c>
      <c r="D120" s="23" t="s">
        <v>369</v>
      </c>
      <c r="E120" s="23" t="s">
        <v>32</v>
      </c>
      <c r="F120" s="52" t="s">
        <v>370</v>
      </c>
      <c r="G120" s="23">
        <v>1767</v>
      </c>
      <c r="H120" s="30">
        <v>3983</v>
      </c>
      <c r="I120" s="23" t="s">
        <v>297</v>
      </c>
      <c r="J120" s="25">
        <f>SUM(EQUIPE!C120,EQUIPE!E120,EQUIPE!G120,EQUIPE!I120,EQUIPE!K120,EQUIPE!M120,EQUIPE!O120)</f>
        <v>0</v>
      </c>
      <c r="K120" s="25">
        <v>0</v>
      </c>
      <c r="L120" s="25">
        <v>0</v>
      </c>
      <c r="M120" s="27" t="str">
        <f ca="1">IFERROR(LEFT(
IF(INDEX('ETAPA OBRA'!C:C,MATCH($B120,'ETAPA OBRA'!$B:$B,0))="x",'ETAPA OBRA'!C$1&amp;", ","")&amp;
IF(INDEX('ETAPA OBRA'!D:D,MATCH($B120,'ETAPA OBRA'!$B:$B,0))="x",'ETAPA OBRA'!D$1&amp;", ","")&amp;
IF(INDEX('ETAPA OBRA'!F:F,MATCH($B120,'ETAPA OBRA'!$B:$B,0))="x",'ETAPA OBRA'!F$1&amp;", ","")&amp;
IF(INDEX('ETAPA OBRA'!G:G,MATCH($B120,'ETAPA OBRA'!$B:$B,0))="x",'ETAPA OBRA'!G$1&amp;", ","")&amp;
IF(INDEX('ETAPA OBRA'!H:H,MATCH($B120,'ETAPA OBRA'!$B:$B,0))="x",'ETAPA OBRA'!H$1&amp;", ","")&amp;
IF(INDEX('ETAPA OBRA'!I:I,MATCH($B120,'ETAPA OBRA'!$B:$B,0))="x",'ETAPA OBRA'!I$1&amp;", ","")&amp;
IF(INDEX('ETAPA OBRA'!J:J,MATCH($B120,'ETAPA OBRA'!$B:$B,0))="x",'ETAPA OBRA'!J$1&amp;", ","")&amp;
IF(INDEX('ETAPA OBRA'!K:K,MATCH($B120,'ETAPA OBRA'!$B:$B,0))="x",'ETAPA OBRA'!K$1&amp;", ","")&amp;
IF(INDEX('ETAPA OBRA'!L:L,MATCH($B120,'ETAPA OBRA'!$B:$B,0))="x",'ETAPA OBRA'!L$1&amp;", ","")&amp;
IF(INDEX('ETAPA OBRA'!M:M,MATCH($B120,'ETAPA OBRA'!$B:$B,0))="x",'ETAPA OBRA'!M$1&amp;", ","")&amp;
IF(INDEX('ETAPA OBRA'!N:N,MATCH($B120,'ETAPA OBRA'!$B:$B,0))="x",'ETAPA OBRA'!N$1&amp;", ","")&amp;
IF(INDEX('ETAPA OBRA'!O:O,MATCH($B120,'ETAPA OBRA'!$B:$B,0))="x",'ETAPA OBRA'!O$1&amp;", ","")&amp;
IF(INDEX('ETAPA OBRA'!P:P,MATCH($B120,'ETAPA OBRA'!$B:$B,0))="x",'ETAPA OBRA'!P$1&amp;", ","")&amp;
IF(INDEX('ETAPA OBRA'!Q:Q,MATCH($B120,'ETAPA OBRA'!$B:$B,0))="x",'ETAPA OBRA'!Q$1&amp;", ","")&amp;
IF(INDEX('ETAPA OBRA'!R:R,MATCH($B120,'ETAPA OBRA'!$B:$B,0))="x",'ETAPA OBRA'!R$1&amp;", ","")&amp;
IF(INDEX('ETAPA OBRA'!S:S,MATCH($B120,'ETAPA OBRA'!$B:$B,0))="x",'ETAPA OBRA'!S$1&amp;", ","")&amp;
IF(INDEX('ETAPA OBRA'!T:T,MATCH($B120,'ETAPA OBRA'!$B:$B,0))="x",'ETAPA OBRA'!T$1&amp;", ","")&amp;
IF(INDEX('ETAPA OBRA'!U:U,MATCH($B120,'ETAPA OBRA'!$B:$B,0))="x",'ETAPA OBRA'!U$1&amp;", ",""),LEN(
IF(INDEX('ETAPA OBRA'!C:C,MATCH($B120,'ETAPA OBRA'!$B:$B,0))="x",'ETAPA OBRA'!C$1&amp;", ","")&amp;
IF(INDEX('ETAPA OBRA'!D:D,MATCH($B120,'ETAPA OBRA'!$B:$B,0))="x",'ETAPA OBRA'!D$1&amp;", ","")&amp;
IF(INDEX('ETAPA OBRA'!F:F,MATCH($B120,'ETAPA OBRA'!$B:$B,0))="x",'ETAPA OBRA'!F$1&amp;", ","")&amp;
IF(INDEX('ETAPA OBRA'!G:G,MATCH($B120,'ETAPA OBRA'!$B:$B,0))="x",'ETAPA OBRA'!G$1&amp;", ","")&amp;
IF(INDEX('ETAPA OBRA'!H:H,MATCH($B120,'ETAPA OBRA'!$B:$B,0))="x",'ETAPA OBRA'!H$1&amp;", ","")&amp;
IF(INDEX('ETAPA OBRA'!I:I,MATCH($B120,'ETAPA OBRA'!$B:$B,0))="x",'ETAPA OBRA'!I$1&amp;", ","")&amp;
IF(INDEX('ETAPA OBRA'!J:J,MATCH($B120,'ETAPA OBRA'!$B:$B,0))="x",'ETAPA OBRA'!J$1&amp;", ","")&amp;
IF(INDEX('ETAPA OBRA'!K:K,MATCH($B120,'ETAPA OBRA'!$B:$B,0))="x",'ETAPA OBRA'!K$1&amp;", ","")&amp;
IF(INDEX('ETAPA OBRA'!L:L,MATCH($B120,'ETAPA OBRA'!$B:$B,0))="x",'ETAPA OBRA'!L$1&amp;", ","")&amp;
IF(INDEX('ETAPA OBRA'!M:M,MATCH($B120,'ETAPA OBRA'!$B:$B,0))="x",'ETAPA OBRA'!M$1&amp;", ","")&amp;
IF(INDEX('ETAPA OBRA'!N:N,MATCH($B120,'ETAPA OBRA'!$B:$B,0))="x",'ETAPA OBRA'!N$1&amp;", ","")&amp;
IF(INDEX('ETAPA OBRA'!O:O,MATCH($B120,'ETAPA OBRA'!$B:$B,0))="x",'ETAPA OBRA'!O$1&amp;", ","")&amp;
IF(INDEX('ETAPA OBRA'!P:P,MATCH($B120,'ETAPA OBRA'!$B:$B,0))="x",'ETAPA OBRA'!P$1&amp;", ","")&amp;
IF(INDEX('ETAPA OBRA'!Q:Q,MATCH($B120,'ETAPA OBRA'!$B:$B,0))="x",'ETAPA OBRA'!Q$1&amp;", ","")&amp;
IF(INDEX('ETAPA OBRA'!R:R,MATCH($B120,'ETAPA OBRA'!$B:$B,0))="x",'ETAPA OBRA'!R$1&amp;", ","")&amp;
IF(INDEX('ETAPA OBRA'!S:S,MATCH($B120,'ETAPA OBRA'!$B:$B,0))="x",'ETAPA OBRA'!S$1&amp;", ","")&amp;
IF(INDEX('ETAPA OBRA'!T:T,MATCH($B120,'ETAPA OBRA'!$B:$B,0))="x",'ETAPA OBRA'!T$1&amp;", ","")&amp;
IF(INDEX('ETAPA OBRA'!U:U,MATCH($B120,'ETAPA OBRA'!$B:$B,0))="x",'ETAPA OBRA'!U$1&amp;", ","")
)-2),"")</f>
        <v>Survey</v>
      </c>
      <c r="N120" s="23" t="str">
        <f t="shared" ca="1" si="14"/>
        <v>Em andamento</v>
      </c>
      <c r="O120" s="28">
        <v>25490.66</v>
      </c>
      <c r="P120" s="37">
        <f t="shared" si="10"/>
        <v>0</v>
      </c>
      <c r="Q120" s="28">
        <f t="shared" si="15"/>
        <v>25490.66</v>
      </c>
      <c r="R120" s="29">
        <f t="shared" si="16"/>
        <v>1</v>
      </c>
      <c r="S120" s="23" t="str">
        <f t="shared" si="17"/>
        <v>✅ OK - Fechar Parceiro</v>
      </c>
      <c r="T120" s="23" t="str">
        <f ca="1">Cronograma[[#This Row],[STATUS]]</f>
        <v>🕓 EM ANDAMENTO</v>
      </c>
    </row>
    <row r="121" spans="1:20" ht="15" customHeight="1" x14ac:dyDescent="0.3">
      <c r="A121" s="23" t="s">
        <v>371</v>
      </c>
      <c r="B121" s="23" t="str">
        <f>IF(A121&lt;&gt;"","contel-"&amp;TEXT(COUNTA($A$2:A121),"00"),"")</f>
        <v>contel-120</v>
      </c>
      <c r="C121" s="23" t="s">
        <v>35</v>
      </c>
      <c r="D121" s="23" t="s">
        <v>372</v>
      </c>
      <c r="E121" s="23" t="s">
        <v>309</v>
      </c>
      <c r="F121" s="52" t="s">
        <v>373</v>
      </c>
      <c r="G121" s="23">
        <v>1910</v>
      </c>
      <c r="H121" s="30">
        <v>27037</v>
      </c>
      <c r="I121" s="23" t="s">
        <v>25</v>
      </c>
      <c r="J121" s="25">
        <f>SUM(EQUIPE!C121,EQUIPE!E121,EQUIPE!G121,EQUIPE!I121,EQUIPE!K121,EQUIPE!M121,EQUIPE!O121)</f>
        <v>22000</v>
      </c>
      <c r="K121" s="25">
        <v>0</v>
      </c>
      <c r="L121" s="25">
        <v>0</v>
      </c>
      <c r="M121" s="27" t="str">
        <f ca="1">IFERROR(LEFT(
IF(INDEX('ETAPA OBRA'!C:C,MATCH($B121,'ETAPA OBRA'!$B:$B,0))="x",'ETAPA OBRA'!C$1&amp;", ","")&amp;
IF(INDEX('ETAPA OBRA'!D:D,MATCH($B121,'ETAPA OBRA'!$B:$B,0))="x",'ETAPA OBRA'!D$1&amp;", ","")&amp;
IF(INDEX('ETAPA OBRA'!F:F,MATCH($B121,'ETAPA OBRA'!$B:$B,0))="x",'ETAPA OBRA'!F$1&amp;", ","")&amp;
IF(INDEX('ETAPA OBRA'!G:G,MATCH($B121,'ETAPA OBRA'!$B:$B,0))="x",'ETAPA OBRA'!G$1&amp;", ","")&amp;
IF(INDEX('ETAPA OBRA'!H:H,MATCH($B121,'ETAPA OBRA'!$B:$B,0))="x",'ETAPA OBRA'!H$1&amp;", ","")&amp;
IF(INDEX('ETAPA OBRA'!I:I,MATCH($B121,'ETAPA OBRA'!$B:$B,0))="x",'ETAPA OBRA'!I$1&amp;", ","")&amp;
IF(INDEX('ETAPA OBRA'!J:J,MATCH($B121,'ETAPA OBRA'!$B:$B,0))="x",'ETAPA OBRA'!J$1&amp;", ","")&amp;
IF(INDEX('ETAPA OBRA'!K:K,MATCH($B121,'ETAPA OBRA'!$B:$B,0))="x",'ETAPA OBRA'!K$1&amp;", ","")&amp;
IF(INDEX('ETAPA OBRA'!L:L,MATCH($B121,'ETAPA OBRA'!$B:$B,0))="x",'ETAPA OBRA'!L$1&amp;", ","")&amp;
IF(INDEX('ETAPA OBRA'!M:M,MATCH($B121,'ETAPA OBRA'!$B:$B,0))="x",'ETAPA OBRA'!M$1&amp;", ","")&amp;
IF(INDEX('ETAPA OBRA'!N:N,MATCH($B121,'ETAPA OBRA'!$B:$B,0))="x",'ETAPA OBRA'!N$1&amp;", ","")&amp;
IF(INDEX('ETAPA OBRA'!O:O,MATCH($B121,'ETAPA OBRA'!$B:$B,0))="x",'ETAPA OBRA'!O$1&amp;", ","")&amp;
IF(INDEX('ETAPA OBRA'!P:P,MATCH($B121,'ETAPA OBRA'!$B:$B,0))="x",'ETAPA OBRA'!P$1&amp;", ","")&amp;
IF(INDEX('ETAPA OBRA'!Q:Q,MATCH($B121,'ETAPA OBRA'!$B:$B,0))="x",'ETAPA OBRA'!Q$1&amp;", ","")&amp;
IF(INDEX('ETAPA OBRA'!R:R,MATCH($B121,'ETAPA OBRA'!$B:$B,0))="x",'ETAPA OBRA'!R$1&amp;", ","")&amp;
IF(INDEX('ETAPA OBRA'!S:S,MATCH($B121,'ETAPA OBRA'!$B:$B,0))="x",'ETAPA OBRA'!S$1&amp;", ","")&amp;
IF(INDEX('ETAPA OBRA'!T:T,MATCH($B121,'ETAPA OBRA'!$B:$B,0))="x",'ETAPA OBRA'!T$1&amp;", ","")&amp;
IF(INDEX('ETAPA OBRA'!U:U,MATCH($B121,'ETAPA OBRA'!$B:$B,0))="x",'ETAPA OBRA'!U$1&amp;", ",""),LEN(
IF(INDEX('ETAPA OBRA'!C:C,MATCH($B121,'ETAPA OBRA'!$B:$B,0))="x",'ETAPA OBRA'!C$1&amp;", ","")&amp;
IF(INDEX('ETAPA OBRA'!D:D,MATCH($B121,'ETAPA OBRA'!$B:$B,0))="x",'ETAPA OBRA'!D$1&amp;", ","")&amp;
IF(INDEX('ETAPA OBRA'!F:F,MATCH($B121,'ETAPA OBRA'!$B:$B,0))="x",'ETAPA OBRA'!F$1&amp;", ","")&amp;
IF(INDEX('ETAPA OBRA'!G:G,MATCH($B121,'ETAPA OBRA'!$B:$B,0))="x",'ETAPA OBRA'!G$1&amp;", ","")&amp;
IF(INDEX('ETAPA OBRA'!H:H,MATCH($B121,'ETAPA OBRA'!$B:$B,0))="x",'ETAPA OBRA'!H$1&amp;", ","")&amp;
IF(INDEX('ETAPA OBRA'!I:I,MATCH($B121,'ETAPA OBRA'!$B:$B,0))="x",'ETAPA OBRA'!I$1&amp;", ","")&amp;
IF(INDEX('ETAPA OBRA'!J:J,MATCH($B121,'ETAPA OBRA'!$B:$B,0))="x",'ETAPA OBRA'!J$1&amp;", ","")&amp;
IF(INDEX('ETAPA OBRA'!K:K,MATCH($B121,'ETAPA OBRA'!$B:$B,0))="x",'ETAPA OBRA'!K$1&amp;", ","")&amp;
IF(INDEX('ETAPA OBRA'!L:L,MATCH($B121,'ETAPA OBRA'!$B:$B,0))="x",'ETAPA OBRA'!L$1&amp;", ","")&amp;
IF(INDEX('ETAPA OBRA'!M:M,MATCH($B121,'ETAPA OBRA'!$B:$B,0))="x",'ETAPA OBRA'!M$1&amp;", ","")&amp;
IF(INDEX('ETAPA OBRA'!N:N,MATCH($B121,'ETAPA OBRA'!$B:$B,0))="x",'ETAPA OBRA'!N$1&amp;", ","")&amp;
IF(INDEX('ETAPA OBRA'!O:O,MATCH($B121,'ETAPA OBRA'!$B:$B,0))="x",'ETAPA OBRA'!O$1&amp;", ","")&amp;
IF(INDEX('ETAPA OBRA'!P:P,MATCH($B121,'ETAPA OBRA'!$B:$B,0))="x",'ETAPA OBRA'!P$1&amp;", ","")&amp;
IF(INDEX('ETAPA OBRA'!Q:Q,MATCH($B121,'ETAPA OBRA'!$B:$B,0))="x",'ETAPA OBRA'!Q$1&amp;", ","")&amp;
IF(INDEX('ETAPA OBRA'!R:R,MATCH($B121,'ETAPA OBRA'!$B:$B,0))="x",'ETAPA OBRA'!R$1&amp;", ","")&amp;
IF(INDEX('ETAPA OBRA'!S:S,MATCH($B121,'ETAPA OBRA'!$B:$B,0))="x",'ETAPA OBRA'!S$1&amp;", ","")&amp;
IF(INDEX('ETAPA OBRA'!T:T,MATCH($B121,'ETAPA OBRA'!$B:$B,0))="x",'ETAPA OBRA'!T$1&amp;", ","")&amp;
IF(INDEX('ETAPA OBRA'!U:U,MATCH($B121,'ETAPA OBRA'!$B:$B,0))="x",'ETAPA OBRA'!U$1&amp;", ","")
)-2),"")</f>
        <v>Fabricação / Galvanização</v>
      </c>
      <c r="N121" s="23" t="str">
        <f t="shared" ca="1" si="14"/>
        <v>Em andamento</v>
      </c>
      <c r="O121" s="28">
        <v>150672.13</v>
      </c>
      <c r="P121" s="37">
        <f t="shared" si="10"/>
        <v>22000</v>
      </c>
      <c r="Q121" s="28">
        <f t="shared" si="15"/>
        <v>128672.13</v>
      </c>
      <c r="R121" s="29">
        <f t="shared" si="16"/>
        <v>0.85398759544980218</v>
      </c>
      <c r="S121" s="23" t="str">
        <f t="shared" si="17"/>
        <v>✅ OK - Fechar Parceiro</v>
      </c>
      <c r="T121" s="23" t="str">
        <f ca="1">Cronograma[[#This Row],[STATUS]]</f>
        <v>🕓 EM ANDAMENTO</v>
      </c>
    </row>
    <row r="122" spans="1:20" ht="15" customHeight="1" x14ac:dyDescent="0.3">
      <c r="A122" s="23" t="s">
        <v>374</v>
      </c>
      <c r="B122" s="23" t="str">
        <f>IF(A122&lt;&gt;"","contel-"&amp;TEXT(COUNTA($A$2:A122),"00"),"")</f>
        <v>contel-121</v>
      </c>
      <c r="C122" s="23" t="s">
        <v>375</v>
      </c>
      <c r="D122" s="23" t="s">
        <v>376</v>
      </c>
      <c r="E122" s="23" t="s">
        <v>377</v>
      </c>
      <c r="F122" s="52" t="s">
        <v>378</v>
      </c>
      <c r="G122" s="23">
        <v>1904</v>
      </c>
      <c r="H122" s="30">
        <v>26950</v>
      </c>
      <c r="I122" s="23" t="s">
        <v>90</v>
      </c>
      <c r="J122" s="25">
        <f>SUM(EQUIPE!C122,EQUIPE!E122,EQUIPE!G122,EQUIPE!I122,EQUIPE!K122,EQUIPE!M122,EQUIPE!O122)</f>
        <v>0</v>
      </c>
      <c r="K122" s="25">
        <v>0</v>
      </c>
      <c r="L122" s="25">
        <v>0</v>
      </c>
      <c r="M122" s="27" t="str">
        <f>IFERROR(LEFT(
IF(INDEX('ETAPA OBRA'!C:C,MATCH($B122,'ETAPA OBRA'!$B:$B,0))="x",'ETAPA OBRA'!C$1&amp;", ","")&amp;
IF(INDEX('ETAPA OBRA'!D:D,MATCH($B122,'ETAPA OBRA'!$B:$B,0))="x",'ETAPA OBRA'!D$1&amp;", ","")&amp;
IF(INDEX('ETAPA OBRA'!F:F,MATCH($B122,'ETAPA OBRA'!$B:$B,0))="x",'ETAPA OBRA'!F$1&amp;", ","")&amp;
IF(INDEX('ETAPA OBRA'!G:G,MATCH($B122,'ETAPA OBRA'!$B:$B,0))="x",'ETAPA OBRA'!G$1&amp;", ","")&amp;
IF(INDEX('ETAPA OBRA'!H:H,MATCH($B122,'ETAPA OBRA'!$B:$B,0))="x",'ETAPA OBRA'!H$1&amp;", ","")&amp;
IF(INDEX('ETAPA OBRA'!I:I,MATCH($B122,'ETAPA OBRA'!$B:$B,0))="x",'ETAPA OBRA'!I$1&amp;", ","")&amp;
IF(INDEX('ETAPA OBRA'!J:J,MATCH($B122,'ETAPA OBRA'!$B:$B,0))="x",'ETAPA OBRA'!J$1&amp;", ","")&amp;
IF(INDEX('ETAPA OBRA'!K:K,MATCH($B122,'ETAPA OBRA'!$B:$B,0))="x",'ETAPA OBRA'!K$1&amp;", ","")&amp;
IF(INDEX('ETAPA OBRA'!L:L,MATCH($B122,'ETAPA OBRA'!$B:$B,0))="x",'ETAPA OBRA'!L$1&amp;", ","")&amp;
IF(INDEX('ETAPA OBRA'!M:M,MATCH($B122,'ETAPA OBRA'!$B:$B,0))="x",'ETAPA OBRA'!M$1&amp;", ","")&amp;
IF(INDEX('ETAPA OBRA'!N:N,MATCH($B122,'ETAPA OBRA'!$B:$B,0))="x",'ETAPA OBRA'!N$1&amp;", ","")&amp;
IF(INDEX('ETAPA OBRA'!O:O,MATCH($B122,'ETAPA OBRA'!$B:$B,0))="x",'ETAPA OBRA'!O$1&amp;", ","")&amp;
IF(INDEX('ETAPA OBRA'!P:P,MATCH($B122,'ETAPA OBRA'!$B:$B,0))="x",'ETAPA OBRA'!P$1&amp;", ","")&amp;
IF(INDEX('ETAPA OBRA'!Q:Q,MATCH($B122,'ETAPA OBRA'!$B:$B,0))="x",'ETAPA OBRA'!Q$1&amp;", ","")&amp;
IF(INDEX('ETAPA OBRA'!R:R,MATCH($B122,'ETAPA OBRA'!$B:$B,0))="x",'ETAPA OBRA'!R$1&amp;", ","")&amp;
IF(INDEX('ETAPA OBRA'!S:S,MATCH($B122,'ETAPA OBRA'!$B:$B,0))="x",'ETAPA OBRA'!S$1&amp;", ","")&amp;
IF(INDEX('ETAPA OBRA'!T:T,MATCH($B122,'ETAPA OBRA'!$B:$B,0))="x",'ETAPA OBRA'!T$1&amp;", ","")&amp;
IF(INDEX('ETAPA OBRA'!U:U,MATCH($B122,'ETAPA OBRA'!$B:$B,0))="x",'ETAPA OBRA'!U$1&amp;", ",""),LEN(
IF(INDEX('ETAPA OBRA'!C:C,MATCH($B122,'ETAPA OBRA'!$B:$B,0))="x",'ETAPA OBRA'!C$1&amp;", ","")&amp;
IF(INDEX('ETAPA OBRA'!D:D,MATCH($B122,'ETAPA OBRA'!$B:$B,0))="x",'ETAPA OBRA'!D$1&amp;", ","")&amp;
IF(INDEX('ETAPA OBRA'!F:F,MATCH($B122,'ETAPA OBRA'!$B:$B,0))="x",'ETAPA OBRA'!F$1&amp;", ","")&amp;
IF(INDEX('ETAPA OBRA'!G:G,MATCH($B122,'ETAPA OBRA'!$B:$B,0))="x",'ETAPA OBRA'!G$1&amp;", ","")&amp;
IF(INDEX('ETAPA OBRA'!H:H,MATCH($B122,'ETAPA OBRA'!$B:$B,0))="x",'ETAPA OBRA'!H$1&amp;", ","")&amp;
IF(INDEX('ETAPA OBRA'!I:I,MATCH($B122,'ETAPA OBRA'!$B:$B,0))="x",'ETAPA OBRA'!I$1&amp;", ","")&amp;
IF(INDEX('ETAPA OBRA'!J:J,MATCH($B122,'ETAPA OBRA'!$B:$B,0))="x",'ETAPA OBRA'!J$1&amp;", ","")&amp;
IF(INDEX('ETAPA OBRA'!K:K,MATCH($B122,'ETAPA OBRA'!$B:$B,0))="x",'ETAPA OBRA'!K$1&amp;", ","")&amp;
IF(INDEX('ETAPA OBRA'!L:L,MATCH($B122,'ETAPA OBRA'!$B:$B,0))="x",'ETAPA OBRA'!L$1&amp;", ","")&amp;
IF(INDEX('ETAPA OBRA'!M:M,MATCH($B122,'ETAPA OBRA'!$B:$B,0))="x",'ETAPA OBRA'!M$1&amp;", ","")&amp;
IF(INDEX('ETAPA OBRA'!N:N,MATCH($B122,'ETAPA OBRA'!$B:$B,0))="x",'ETAPA OBRA'!N$1&amp;", ","")&amp;
IF(INDEX('ETAPA OBRA'!O:O,MATCH($B122,'ETAPA OBRA'!$B:$B,0))="x",'ETAPA OBRA'!O$1&amp;", ","")&amp;
IF(INDEX('ETAPA OBRA'!P:P,MATCH($B122,'ETAPA OBRA'!$B:$B,0))="x",'ETAPA OBRA'!P$1&amp;", ","")&amp;
IF(INDEX('ETAPA OBRA'!Q:Q,MATCH($B122,'ETAPA OBRA'!$B:$B,0))="x",'ETAPA OBRA'!Q$1&amp;", ","")&amp;
IF(INDEX('ETAPA OBRA'!R:R,MATCH($B122,'ETAPA OBRA'!$B:$B,0))="x",'ETAPA OBRA'!R$1&amp;", ","")&amp;
IF(INDEX('ETAPA OBRA'!S:S,MATCH($B122,'ETAPA OBRA'!$B:$B,0))="x",'ETAPA OBRA'!S$1&amp;", ","")&amp;
IF(INDEX('ETAPA OBRA'!T:T,MATCH($B122,'ETAPA OBRA'!$B:$B,0))="x",'ETAPA OBRA'!T$1&amp;", ","")&amp;
IF(INDEX('ETAPA OBRA'!U:U,MATCH($B122,'ETAPA OBRA'!$B:$B,0))="x",'ETAPA OBRA'!U$1&amp;", ","")
)-2),"")</f>
        <v>Homologação</v>
      </c>
      <c r="N122" s="23" t="str">
        <f t="shared" si="14"/>
        <v>Em andamento</v>
      </c>
      <c r="O122" s="28">
        <v>5120</v>
      </c>
      <c r="P122" s="37">
        <f t="shared" si="10"/>
        <v>0</v>
      </c>
      <c r="Q122" s="28">
        <f t="shared" si="15"/>
        <v>5120</v>
      </c>
      <c r="R122" s="29">
        <f t="shared" si="16"/>
        <v>1</v>
      </c>
      <c r="S122" s="23" t="str">
        <f t="shared" si="17"/>
        <v>✅ OK - Fechar Parceiro</v>
      </c>
      <c r="T122" s="23" t="str">
        <f>Cronograma[[#This Row],[STATUS]]</f>
        <v>⚠️ PARALISADO</v>
      </c>
    </row>
    <row r="123" spans="1:20" ht="15" customHeight="1" x14ac:dyDescent="0.3">
      <c r="A123" s="23" t="s">
        <v>379</v>
      </c>
      <c r="B123" s="23" t="str">
        <f>IF(A123&lt;&gt;"","contel-"&amp;TEXT(COUNTA($A$2:A123),"00"),"")</f>
        <v>contel-122</v>
      </c>
      <c r="C123" s="23" t="s">
        <v>375</v>
      </c>
      <c r="D123" s="23" t="s">
        <v>380</v>
      </c>
      <c r="E123" s="23" t="s">
        <v>377</v>
      </c>
      <c r="F123" s="52" t="s">
        <v>381</v>
      </c>
      <c r="G123" s="23">
        <v>1904</v>
      </c>
      <c r="H123" s="30">
        <v>26949</v>
      </c>
      <c r="I123" s="23" t="s">
        <v>90</v>
      </c>
      <c r="J123" s="25">
        <f>SUM(EQUIPE!C123,EQUIPE!E123,EQUIPE!G123,EQUIPE!I123,EQUIPE!K123,EQUIPE!M123,EQUIPE!O123)</f>
        <v>0</v>
      </c>
      <c r="K123" s="25">
        <v>0</v>
      </c>
      <c r="L123" s="25">
        <v>0</v>
      </c>
      <c r="M123" s="27" t="str">
        <f>IFERROR(LEFT(
IF(INDEX('ETAPA OBRA'!C:C,MATCH($B123,'ETAPA OBRA'!$B:$B,0))="x",'ETAPA OBRA'!C$1&amp;", ","")&amp;
IF(INDEX('ETAPA OBRA'!D:D,MATCH($B123,'ETAPA OBRA'!$B:$B,0))="x",'ETAPA OBRA'!D$1&amp;", ","")&amp;
IF(INDEX('ETAPA OBRA'!F:F,MATCH($B123,'ETAPA OBRA'!$B:$B,0))="x",'ETAPA OBRA'!F$1&amp;", ","")&amp;
IF(INDEX('ETAPA OBRA'!G:G,MATCH($B123,'ETAPA OBRA'!$B:$B,0))="x",'ETAPA OBRA'!G$1&amp;", ","")&amp;
IF(INDEX('ETAPA OBRA'!H:H,MATCH($B123,'ETAPA OBRA'!$B:$B,0))="x",'ETAPA OBRA'!H$1&amp;", ","")&amp;
IF(INDEX('ETAPA OBRA'!I:I,MATCH($B123,'ETAPA OBRA'!$B:$B,0))="x",'ETAPA OBRA'!I$1&amp;", ","")&amp;
IF(INDEX('ETAPA OBRA'!J:J,MATCH($B123,'ETAPA OBRA'!$B:$B,0))="x",'ETAPA OBRA'!J$1&amp;", ","")&amp;
IF(INDEX('ETAPA OBRA'!K:K,MATCH($B123,'ETAPA OBRA'!$B:$B,0))="x",'ETAPA OBRA'!K$1&amp;", ","")&amp;
IF(INDEX('ETAPA OBRA'!L:L,MATCH($B123,'ETAPA OBRA'!$B:$B,0))="x",'ETAPA OBRA'!L$1&amp;", ","")&amp;
IF(INDEX('ETAPA OBRA'!M:M,MATCH($B123,'ETAPA OBRA'!$B:$B,0))="x",'ETAPA OBRA'!M$1&amp;", ","")&amp;
IF(INDEX('ETAPA OBRA'!N:N,MATCH($B123,'ETAPA OBRA'!$B:$B,0))="x",'ETAPA OBRA'!N$1&amp;", ","")&amp;
IF(INDEX('ETAPA OBRA'!O:O,MATCH($B123,'ETAPA OBRA'!$B:$B,0))="x",'ETAPA OBRA'!O$1&amp;", ","")&amp;
IF(INDEX('ETAPA OBRA'!P:P,MATCH($B123,'ETAPA OBRA'!$B:$B,0))="x",'ETAPA OBRA'!P$1&amp;", ","")&amp;
IF(INDEX('ETAPA OBRA'!Q:Q,MATCH($B123,'ETAPA OBRA'!$B:$B,0))="x",'ETAPA OBRA'!Q$1&amp;", ","")&amp;
IF(INDEX('ETAPA OBRA'!R:R,MATCH($B123,'ETAPA OBRA'!$B:$B,0))="x",'ETAPA OBRA'!R$1&amp;", ","")&amp;
IF(INDEX('ETAPA OBRA'!S:S,MATCH($B123,'ETAPA OBRA'!$B:$B,0))="x",'ETAPA OBRA'!S$1&amp;", ","")&amp;
IF(INDEX('ETAPA OBRA'!T:T,MATCH($B123,'ETAPA OBRA'!$B:$B,0))="x",'ETAPA OBRA'!T$1&amp;", ","")&amp;
IF(INDEX('ETAPA OBRA'!U:U,MATCH($B123,'ETAPA OBRA'!$B:$B,0))="x",'ETAPA OBRA'!U$1&amp;", ",""),LEN(
IF(INDEX('ETAPA OBRA'!C:C,MATCH($B123,'ETAPA OBRA'!$B:$B,0))="x",'ETAPA OBRA'!C$1&amp;", ","")&amp;
IF(INDEX('ETAPA OBRA'!D:D,MATCH($B123,'ETAPA OBRA'!$B:$B,0))="x",'ETAPA OBRA'!D$1&amp;", ","")&amp;
IF(INDEX('ETAPA OBRA'!F:F,MATCH($B123,'ETAPA OBRA'!$B:$B,0))="x",'ETAPA OBRA'!F$1&amp;", ","")&amp;
IF(INDEX('ETAPA OBRA'!G:G,MATCH($B123,'ETAPA OBRA'!$B:$B,0))="x",'ETAPA OBRA'!G$1&amp;", ","")&amp;
IF(INDEX('ETAPA OBRA'!H:H,MATCH($B123,'ETAPA OBRA'!$B:$B,0))="x",'ETAPA OBRA'!H$1&amp;", ","")&amp;
IF(INDEX('ETAPA OBRA'!I:I,MATCH($B123,'ETAPA OBRA'!$B:$B,0))="x",'ETAPA OBRA'!I$1&amp;", ","")&amp;
IF(INDEX('ETAPA OBRA'!J:J,MATCH($B123,'ETAPA OBRA'!$B:$B,0))="x",'ETAPA OBRA'!J$1&amp;", ","")&amp;
IF(INDEX('ETAPA OBRA'!K:K,MATCH($B123,'ETAPA OBRA'!$B:$B,0))="x",'ETAPA OBRA'!K$1&amp;", ","")&amp;
IF(INDEX('ETAPA OBRA'!L:L,MATCH($B123,'ETAPA OBRA'!$B:$B,0))="x",'ETAPA OBRA'!L$1&amp;", ","")&amp;
IF(INDEX('ETAPA OBRA'!M:M,MATCH($B123,'ETAPA OBRA'!$B:$B,0))="x",'ETAPA OBRA'!M$1&amp;", ","")&amp;
IF(INDEX('ETAPA OBRA'!N:N,MATCH($B123,'ETAPA OBRA'!$B:$B,0))="x",'ETAPA OBRA'!N$1&amp;", ","")&amp;
IF(INDEX('ETAPA OBRA'!O:O,MATCH($B123,'ETAPA OBRA'!$B:$B,0))="x",'ETAPA OBRA'!O$1&amp;", ","")&amp;
IF(INDEX('ETAPA OBRA'!P:P,MATCH($B123,'ETAPA OBRA'!$B:$B,0))="x",'ETAPA OBRA'!P$1&amp;", ","")&amp;
IF(INDEX('ETAPA OBRA'!Q:Q,MATCH($B123,'ETAPA OBRA'!$B:$B,0))="x",'ETAPA OBRA'!Q$1&amp;", ","")&amp;
IF(INDEX('ETAPA OBRA'!R:R,MATCH($B123,'ETAPA OBRA'!$B:$B,0))="x",'ETAPA OBRA'!R$1&amp;", ","")&amp;
IF(INDEX('ETAPA OBRA'!S:S,MATCH($B123,'ETAPA OBRA'!$B:$B,0))="x",'ETAPA OBRA'!S$1&amp;", ","")&amp;
IF(INDEX('ETAPA OBRA'!T:T,MATCH($B123,'ETAPA OBRA'!$B:$B,0))="x",'ETAPA OBRA'!T$1&amp;", ","")&amp;
IF(INDEX('ETAPA OBRA'!U:U,MATCH($B123,'ETAPA OBRA'!$B:$B,0))="x",'ETAPA OBRA'!U$1&amp;", ","")
)-2),"")</f>
        <v>Homologação</v>
      </c>
      <c r="N123" s="23" t="str">
        <f t="shared" si="14"/>
        <v>Em andamento</v>
      </c>
      <c r="O123" s="28">
        <v>5120</v>
      </c>
      <c r="P123" s="37">
        <f t="shared" si="10"/>
        <v>0</v>
      </c>
      <c r="Q123" s="28">
        <f t="shared" si="15"/>
        <v>5120</v>
      </c>
      <c r="R123" s="29">
        <f t="shared" si="16"/>
        <v>1</v>
      </c>
      <c r="S123" s="23" t="str">
        <f t="shared" si="17"/>
        <v>✅ OK - Fechar Parceiro</v>
      </c>
      <c r="T123" s="23" t="str">
        <f>Cronograma[[#This Row],[STATUS]]</f>
        <v>⚠️ PARALISADO</v>
      </c>
    </row>
    <row r="124" spans="1:20" ht="15" customHeight="1" x14ac:dyDescent="0.3">
      <c r="A124" s="23" t="s">
        <v>382</v>
      </c>
      <c r="B124" s="23" t="str">
        <f>IF(A124&lt;&gt;"","contel-"&amp;TEXT(COUNTA($A$2:A124),"00"),"")</f>
        <v>contel-123</v>
      </c>
      <c r="C124" s="23" t="s">
        <v>375</v>
      </c>
      <c r="D124" s="23" t="s">
        <v>383</v>
      </c>
      <c r="E124" s="23" t="s">
        <v>93</v>
      </c>
      <c r="F124" s="52" t="s">
        <v>384</v>
      </c>
      <c r="G124" s="23">
        <v>1906</v>
      </c>
      <c r="H124" s="30">
        <v>26948</v>
      </c>
      <c r="I124" s="23" t="s">
        <v>90</v>
      </c>
      <c r="J124" s="25">
        <f>SUM(EQUIPE!C124,EQUIPE!E124,EQUIPE!G124,EQUIPE!I124,EQUIPE!K124,EQUIPE!M124,EQUIPE!O124)</f>
        <v>0</v>
      </c>
      <c r="K124" s="25">
        <v>0</v>
      </c>
      <c r="L124" s="25">
        <v>0</v>
      </c>
      <c r="M124" s="27" t="str">
        <f>IFERROR(LEFT(
IF(INDEX('ETAPA OBRA'!C:C,MATCH($B124,'ETAPA OBRA'!$B:$B,0))="x",'ETAPA OBRA'!C$1&amp;", ","")&amp;
IF(INDEX('ETAPA OBRA'!D:D,MATCH($B124,'ETAPA OBRA'!$B:$B,0))="x",'ETAPA OBRA'!D$1&amp;", ","")&amp;
IF(INDEX('ETAPA OBRA'!F:F,MATCH($B124,'ETAPA OBRA'!$B:$B,0))="x",'ETAPA OBRA'!F$1&amp;", ","")&amp;
IF(INDEX('ETAPA OBRA'!G:G,MATCH($B124,'ETAPA OBRA'!$B:$B,0))="x",'ETAPA OBRA'!G$1&amp;", ","")&amp;
IF(INDEX('ETAPA OBRA'!H:H,MATCH($B124,'ETAPA OBRA'!$B:$B,0))="x",'ETAPA OBRA'!H$1&amp;", ","")&amp;
IF(INDEX('ETAPA OBRA'!I:I,MATCH($B124,'ETAPA OBRA'!$B:$B,0))="x",'ETAPA OBRA'!I$1&amp;", ","")&amp;
IF(INDEX('ETAPA OBRA'!J:J,MATCH($B124,'ETAPA OBRA'!$B:$B,0))="x",'ETAPA OBRA'!J$1&amp;", ","")&amp;
IF(INDEX('ETAPA OBRA'!K:K,MATCH($B124,'ETAPA OBRA'!$B:$B,0))="x",'ETAPA OBRA'!K$1&amp;", ","")&amp;
IF(INDEX('ETAPA OBRA'!L:L,MATCH($B124,'ETAPA OBRA'!$B:$B,0))="x",'ETAPA OBRA'!L$1&amp;", ","")&amp;
IF(INDEX('ETAPA OBRA'!M:M,MATCH($B124,'ETAPA OBRA'!$B:$B,0))="x",'ETAPA OBRA'!M$1&amp;", ","")&amp;
IF(INDEX('ETAPA OBRA'!N:N,MATCH($B124,'ETAPA OBRA'!$B:$B,0))="x",'ETAPA OBRA'!N$1&amp;", ","")&amp;
IF(INDEX('ETAPA OBRA'!O:O,MATCH($B124,'ETAPA OBRA'!$B:$B,0))="x",'ETAPA OBRA'!O$1&amp;", ","")&amp;
IF(INDEX('ETAPA OBRA'!P:P,MATCH($B124,'ETAPA OBRA'!$B:$B,0))="x",'ETAPA OBRA'!P$1&amp;", ","")&amp;
IF(INDEX('ETAPA OBRA'!Q:Q,MATCH($B124,'ETAPA OBRA'!$B:$B,0))="x",'ETAPA OBRA'!Q$1&amp;", ","")&amp;
IF(INDEX('ETAPA OBRA'!R:R,MATCH($B124,'ETAPA OBRA'!$B:$B,0))="x",'ETAPA OBRA'!R$1&amp;", ","")&amp;
IF(INDEX('ETAPA OBRA'!S:S,MATCH($B124,'ETAPA OBRA'!$B:$B,0))="x",'ETAPA OBRA'!S$1&amp;", ","")&amp;
IF(INDEX('ETAPA OBRA'!T:T,MATCH($B124,'ETAPA OBRA'!$B:$B,0))="x",'ETAPA OBRA'!T$1&amp;", ","")&amp;
IF(INDEX('ETAPA OBRA'!U:U,MATCH($B124,'ETAPA OBRA'!$B:$B,0))="x",'ETAPA OBRA'!U$1&amp;", ",""),LEN(
IF(INDEX('ETAPA OBRA'!C:C,MATCH($B124,'ETAPA OBRA'!$B:$B,0))="x",'ETAPA OBRA'!C$1&amp;", ","")&amp;
IF(INDEX('ETAPA OBRA'!D:D,MATCH($B124,'ETAPA OBRA'!$B:$B,0))="x",'ETAPA OBRA'!D$1&amp;", ","")&amp;
IF(INDEX('ETAPA OBRA'!F:F,MATCH($B124,'ETAPA OBRA'!$B:$B,0))="x",'ETAPA OBRA'!F$1&amp;", ","")&amp;
IF(INDEX('ETAPA OBRA'!G:G,MATCH($B124,'ETAPA OBRA'!$B:$B,0))="x",'ETAPA OBRA'!G$1&amp;", ","")&amp;
IF(INDEX('ETAPA OBRA'!H:H,MATCH($B124,'ETAPA OBRA'!$B:$B,0))="x",'ETAPA OBRA'!H$1&amp;", ","")&amp;
IF(INDEX('ETAPA OBRA'!I:I,MATCH($B124,'ETAPA OBRA'!$B:$B,0))="x",'ETAPA OBRA'!I$1&amp;", ","")&amp;
IF(INDEX('ETAPA OBRA'!J:J,MATCH($B124,'ETAPA OBRA'!$B:$B,0))="x",'ETAPA OBRA'!J$1&amp;", ","")&amp;
IF(INDEX('ETAPA OBRA'!K:K,MATCH($B124,'ETAPA OBRA'!$B:$B,0))="x",'ETAPA OBRA'!K$1&amp;", ","")&amp;
IF(INDEX('ETAPA OBRA'!L:L,MATCH($B124,'ETAPA OBRA'!$B:$B,0))="x",'ETAPA OBRA'!L$1&amp;", ","")&amp;
IF(INDEX('ETAPA OBRA'!M:M,MATCH($B124,'ETAPA OBRA'!$B:$B,0))="x",'ETAPA OBRA'!M$1&amp;", ","")&amp;
IF(INDEX('ETAPA OBRA'!N:N,MATCH($B124,'ETAPA OBRA'!$B:$B,0))="x",'ETAPA OBRA'!N$1&amp;", ","")&amp;
IF(INDEX('ETAPA OBRA'!O:O,MATCH($B124,'ETAPA OBRA'!$B:$B,0))="x",'ETAPA OBRA'!O$1&amp;", ","")&amp;
IF(INDEX('ETAPA OBRA'!P:P,MATCH($B124,'ETAPA OBRA'!$B:$B,0))="x",'ETAPA OBRA'!P$1&amp;", ","")&amp;
IF(INDEX('ETAPA OBRA'!Q:Q,MATCH($B124,'ETAPA OBRA'!$B:$B,0))="x",'ETAPA OBRA'!Q$1&amp;", ","")&amp;
IF(INDEX('ETAPA OBRA'!R:R,MATCH($B124,'ETAPA OBRA'!$B:$B,0))="x",'ETAPA OBRA'!R$1&amp;", ","")&amp;
IF(INDEX('ETAPA OBRA'!S:S,MATCH($B124,'ETAPA OBRA'!$B:$B,0))="x",'ETAPA OBRA'!S$1&amp;", ","")&amp;
IF(INDEX('ETAPA OBRA'!T:T,MATCH($B124,'ETAPA OBRA'!$B:$B,0))="x",'ETAPA OBRA'!T$1&amp;", ","")&amp;
IF(INDEX('ETAPA OBRA'!U:U,MATCH($B124,'ETAPA OBRA'!$B:$B,0))="x",'ETAPA OBRA'!U$1&amp;", ","")
)-2),"")</f>
        <v>Homologação</v>
      </c>
      <c r="N124" s="23" t="str">
        <f t="shared" si="14"/>
        <v>Em andamento</v>
      </c>
      <c r="O124" s="28">
        <v>5120</v>
      </c>
      <c r="P124" s="37">
        <f t="shared" si="10"/>
        <v>0</v>
      </c>
      <c r="Q124" s="28">
        <f t="shared" si="15"/>
        <v>5120</v>
      </c>
      <c r="R124" s="29">
        <f t="shared" si="16"/>
        <v>1</v>
      </c>
      <c r="S124" s="23" t="str">
        <f t="shared" si="17"/>
        <v>✅ OK - Fechar Parceiro</v>
      </c>
      <c r="T124" s="23" t="str">
        <f>Cronograma[[#This Row],[STATUS]]</f>
        <v>⚠️ PARALISADO</v>
      </c>
    </row>
    <row r="125" spans="1:20" ht="15" customHeight="1" x14ac:dyDescent="0.3">
      <c r="A125" s="23" t="s">
        <v>385</v>
      </c>
      <c r="B125" s="23" t="str">
        <f>IF(A125&lt;&gt;"","contel-"&amp;TEXT(COUNTA($A$2:A125),"00"),"")</f>
        <v>contel-124</v>
      </c>
      <c r="C125" s="23" t="s">
        <v>375</v>
      </c>
      <c r="D125" s="23" t="s">
        <v>386</v>
      </c>
      <c r="E125" s="23" t="s">
        <v>93</v>
      </c>
      <c r="F125" s="52" t="s">
        <v>387</v>
      </c>
      <c r="G125" s="23">
        <v>1906</v>
      </c>
      <c r="H125" s="30">
        <v>26947</v>
      </c>
      <c r="I125" s="23" t="s">
        <v>90</v>
      </c>
      <c r="J125" s="25">
        <f>SUM(EQUIPE!C125,EQUIPE!E125,EQUIPE!G125,EQUIPE!I125,EQUIPE!K125,EQUIPE!M125,EQUIPE!O125)</f>
        <v>0</v>
      </c>
      <c r="K125" s="25">
        <v>0</v>
      </c>
      <c r="L125" s="25">
        <v>0</v>
      </c>
      <c r="M125" s="27" t="str">
        <f>IFERROR(LEFT(
IF(INDEX('ETAPA OBRA'!C:C,MATCH($B125,'ETAPA OBRA'!$B:$B,0))="x",'ETAPA OBRA'!C$1&amp;", ","")&amp;
IF(INDEX('ETAPA OBRA'!D:D,MATCH($B125,'ETAPA OBRA'!$B:$B,0))="x",'ETAPA OBRA'!D$1&amp;", ","")&amp;
IF(INDEX('ETAPA OBRA'!F:F,MATCH($B125,'ETAPA OBRA'!$B:$B,0))="x",'ETAPA OBRA'!F$1&amp;", ","")&amp;
IF(INDEX('ETAPA OBRA'!G:G,MATCH($B125,'ETAPA OBRA'!$B:$B,0))="x",'ETAPA OBRA'!G$1&amp;", ","")&amp;
IF(INDEX('ETAPA OBRA'!H:H,MATCH($B125,'ETAPA OBRA'!$B:$B,0))="x",'ETAPA OBRA'!H$1&amp;", ","")&amp;
IF(INDEX('ETAPA OBRA'!I:I,MATCH($B125,'ETAPA OBRA'!$B:$B,0))="x",'ETAPA OBRA'!I$1&amp;", ","")&amp;
IF(INDEX('ETAPA OBRA'!J:J,MATCH($B125,'ETAPA OBRA'!$B:$B,0))="x",'ETAPA OBRA'!J$1&amp;", ","")&amp;
IF(INDEX('ETAPA OBRA'!K:K,MATCH($B125,'ETAPA OBRA'!$B:$B,0))="x",'ETAPA OBRA'!K$1&amp;", ","")&amp;
IF(INDEX('ETAPA OBRA'!L:L,MATCH($B125,'ETAPA OBRA'!$B:$B,0))="x",'ETAPA OBRA'!L$1&amp;", ","")&amp;
IF(INDEX('ETAPA OBRA'!M:M,MATCH($B125,'ETAPA OBRA'!$B:$B,0))="x",'ETAPA OBRA'!M$1&amp;", ","")&amp;
IF(INDEX('ETAPA OBRA'!N:N,MATCH($B125,'ETAPA OBRA'!$B:$B,0))="x",'ETAPA OBRA'!N$1&amp;", ","")&amp;
IF(INDEX('ETAPA OBRA'!O:O,MATCH($B125,'ETAPA OBRA'!$B:$B,0))="x",'ETAPA OBRA'!O$1&amp;", ","")&amp;
IF(INDEX('ETAPA OBRA'!P:P,MATCH($B125,'ETAPA OBRA'!$B:$B,0))="x",'ETAPA OBRA'!P$1&amp;", ","")&amp;
IF(INDEX('ETAPA OBRA'!Q:Q,MATCH($B125,'ETAPA OBRA'!$B:$B,0))="x",'ETAPA OBRA'!Q$1&amp;", ","")&amp;
IF(INDEX('ETAPA OBRA'!R:R,MATCH($B125,'ETAPA OBRA'!$B:$B,0))="x",'ETAPA OBRA'!R$1&amp;", ","")&amp;
IF(INDEX('ETAPA OBRA'!S:S,MATCH($B125,'ETAPA OBRA'!$B:$B,0))="x",'ETAPA OBRA'!S$1&amp;", ","")&amp;
IF(INDEX('ETAPA OBRA'!T:T,MATCH($B125,'ETAPA OBRA'!$B:$B,0))="x",'ETAPA OBRA'!T$1&amp;", ","")&amp;
IF(INDEX('ETAPA OBRA'!U:U,MATCH($B125,'ETAPA OBRA'!$B:$B,0))="x",'ETAPA OBRA'!U$1&amp;", ",""),LEN(
IF(INDEX('ETAPA OBRA'!C:C,MATCH($B125,'ETAPA OBRA'!$B:$B,0))="x",'ETAPA OBRA'!C$1&amp;", ","")&amp;
IF(INDEX('ETAPA OBRA'!D:D,MATCH($B125,'ETAPA OBRA'!$B:$B,0))="x",'ETAPA OBRA'!D$1&amp;", ","")&amp;
IF(INDEX('ETAPA OBRA'!F:F,MATCH($B125,'ETAPA OBRA'!$B:$B,0))="x",'ETAPA OBRA'!F$1&amp;", ","")&amp;
IF(INDEX('ETAPA OBRA'!G:G,MATCH($B125,'ETAPA OBRA'!$B:$B,0))="x",'ETAPA OBRA'!G$1&amp;", ","")&amp;
IF(INDEX('ETAPA OBRA'!H:H,MATCH($B125,'ETAPA OBRA'!$B:$B,0))="x",'ETAPA OBRA'!H$1&amp;", ","")&amp;
IF(INDEX('ETAPA OBRA'!I:I,MATCH($B125,'ETAPA OBRA'!$B:$B,0))="x",'ETAPA OBRA'!I$1&amp;", ","")&amp;
IF(INDEX('ETAPA OBRA'!J:J,MATCH($B125,'ETAPA OBRA'!$B:$B,0))="x",'ETAPA OBRA'!J$1&amp;", ","")&amp;
IF(INDEX('ETAPA OBRA'!K:K,MATCH($B125,'ETAPA OBRA'!$B:$B,0))="x",'ETAPA OBRA'!K$1&amp;", ","")&amp;
IF(INDEX('ETAPA OBRA'!L:L,MATCH($B125,'ETAPA OBRA'!$B:$B,0))="x",'ETAPA OBRA'!L$1&amp;", ","")&amp;
IF(INDEX('ETAPA OBRA'!M:M,MATCH($B125,'ETAPA OBRA'!$B:$B,0))="x",'ETAPA OBRA'!M$1&amp;", ","")&amp;
IF(INDEX('ETAPA OBRA'!N:N,MATCH($B125,'ETAPA OBRA'!$B:$B,0))="x",'ETAPA OBRA'!N$1&amp;", ","")&amp;
IF(INDEX('ETAPA OBRA'!O:O,MATCH($B125,'ETAPA OBRA'!$B:$B,0))="x",'ETAPA OBRA'!O$1&amp;", ","")&amp;
IF(INDEX('ETAPA OBRA'!P:P,MATCH($B125,'ETAPA OBRA'!$B:$B,0))="x",'ETAPA OBRA'!P$1&amp;", ","")&amp;
IF(INDEX('ETAPA OBRA'!Q:Q,MATCH($B125,'ETAPA OBRA'!$B:$B,0))="x",'ETAPA OBRA'!Q$1&amp;", ","")&amp;
IF(INDEX('ETAPA OBRA'!R:R,MATCH($B125,'ETAPA OBRA'!$B:$B,0))="x",'ETAPA OBRA'!R$1&amp;", ","")&amp;
IF(INDEX('ETAPA OBRA'!S:S,MATCH($B125,'ETAPA OBRA'!$B:$B,0))="x",'ETAPA OBRA'!S$1&amp;", ","")&amp;
IF(INDEX('ETAPA OBRA'!T:T,MATCH($B125,'ETAPA OBRA'!$B:$B,0))="x",'ETAPA OBRA'!T$1&amp;", ","")&amp;
IF(INDEX('ETAPA OBRA'!U:U,MATCH($B125,'ETAPA OBRA'!$B:$B,0))="x",'ETAPA OBRA'!U$1&amp;", ","")
)-2),"")</f>
        <v>Homologação</v>
      </c>
      <c r="N125" s="23" t="str">
        <f t="shared" si="14"/>
        <v>Em andamento</v>
      </c>
      <c r="O125" s="28">
        <v>5120</v>
      </c>
      <c r="P125" s="37">
        <f t="shared" si="10"/>
        <v>0</v>
      </c>
      <c r="Q125" s="28">
        <f t="shared" si="15"/>
        <v>5120</v>
      </c>
      <c r="R125" s="29">
        <f t="shared" si="16"/>
        <v>1</v>
      </c>
      <c r="S125" s="23" t="str">
        <f t="shared" si="17"/>
        <v>✅ OK - Fechar Parceiro</v>
      </c>
      <c r="T125" s="23" t="str">
        <f>Cronograma[[#This Row],[STATUS]]</f>
        <v>⚠️ PARALISADO</v>
      </c>
    </row>
    <row r="126" spans="1:20" ht="15" customHeight="1" x14ac:dyDescent="0.3">
      <c r="A126" s="23" t="s">
        <v>388</v>
      </c>
      <c r="B126" s="23" t="str">
        <f>IF(A126&lt;&gt;"","contel-"&amp;TEXT(COUNTA($A$2:A126),"00"),"")</f>
        <v>contel-125</v>
      </c>
      <c r="C126" s="23" t="s">
        <v>375</v>
      </c>
      <c r="D126" s="23" t="s">
        <v>389</v>
      </c>
      <c r="E126" s="23" t="s">
        <v>93</v>
      </c>
      <c r="F126" s="52" t="s">
        <v>390</v>
      </c>
      <c r="G126" s="23">
        <v>1906</v>
      </c>
      <c r="H126" s="30">
        <v>26946</v>
      </c>
      <c r="I126" s="23" t="s">
        <v>90</v>
      </c>
      <c r="J126" s="25">
        <f>SUM(EQUIPE!C126,EQUIPE!E126,EQUIPE!G126,EQUIPE!I126,EQUIPE!K126,EQUIPE!M126,EQUIPE!O126)</f>
        <v>0</v>
      </c>
      <c r="K126" s="25">
        <v>0</v>
      </c>
      <c r="L126" s="25">
        <v>0</v>
      </c>
      <c r="M126" s="27" t="str">
        <f>IFERROR(LEFT(
IF(INDEX('ETAPA OBRA'!C:C,MATCH($B126,'ETAPA OBRA'!$B:$B,0))="x",'ETAPA OBRA'!C$1&amp;", ","")&amp;
IF(INDEX('ETAPA OBRA'!D:D,MATCH($B126,'ETAPA OBRA'!$B:$B,0))="x",'ETAPA OBRA'!D$1&amp;", ","")&amp;
IF(INDEX('ETAPA OBRA'!F:F,MATCH($B126,'ETAPA OBRA'!$B:$B,0))="x",'ETAPA OBRA'!F$1&amp;", ","")&amp;
IF(INDEX('ETAPA OBRA'!G:G,MATCH($B126,'ETAPA OBRA'!$B:$B,0))="x",'ETAPA OBRA'!G$1&amp;", ","")&amp;
IF(INDEX('ETAPA OBRA'!H:H,MATCH($B126,'ETAPA OBRA'!$B:$B,0))="x",'ETAPA OBRA'!H$1&amp;", ","")&amp;
IF(INDEX('ETAPA OBRA'!I:I,MATCH($B126,'ETAPA OBRA'!$B:$B,0))="x",'ETAPA OBRA'!I$1&amp;", ","")&amp;
IF(INDEX('ETAPA OBRA'!J:J,MATCH($B126,'ETAPA OBRA'!$B:$B,0))="x",'ETAPA OBRA'!J$1&amp;", ","")&amp;
IF(INDEX('ETAPA OBRA'!K:K,MATCH($B126,'ETAPA OBRA'!$B:$B,0))="x",'ETAPA OBRA'!K$1&amp;", ","")&amp;
IF(INDEX('ETAPA OBRA'!L:L,MATCH($B126,'ETAPA OBRA'!$B:$B,0))="x",'ETAPA OBRA'!L$1&amp;", ","")&amp;
IF(INDEX('ETAPA OBRA'!M:M,MATCH($B126,'ETAPA OBRA'!$B:$B,0))="x",'ETAPA OBRA'!M$1&amp;", ","")&amp;
IF(INDEX('ETAPA OBRA'!N:N,MATCH($B126,'ETAPA OBRA'!$B:$B,0))="x",'ETAPA OBRA'!N$1&amp;", ","")&amp;
IF(INDEX('ETAPA OBRA'!O:O,MATCH($B126,'ETAPA OBRA'!$B:$B,0))="x",'ETAPA OBRA'!O$1&amp;", ","")&amp;
IF(INDEX('ETAPA OBRA'!P:P,MATCH($B126,'ETAPA OBRA'!$B:$B,0))="x",'ETAPA OBRA'!P$1&amp;", ","")&amp;
IF(INDEX('ETAPA OBRA'!Q:Q,MATCH($B126,'ETAPA OBRA'!$B:$B,0))="x",'ETAPA OBRA'!Q$1&amp;", ","")&amp;
IF(INDEX('ETAPA OBRA'!R:R,MATCH($B126,'ETAPA OBRA'!$B:$B,0))="x",'ETAPA OBRA'!R$1&amp;", ","")&amp;
IF(INDEX('ETAPA OBRA'!S:S,MATCH($B126,'ETAPA OBRA'!$B:$B,0))="x",'ETAPA OBRA'!S$1&amp;", ","")&amp;
IF(INDEX('ETAPA OBRA'!T:T,MATCH($B126,'ETAPA OBRA'!$B:$B,0))="x",'ETAPA OBRA'!T$1&amp;", ","")&amp;
IF(INDEX('ETAPA OBRA'!U:U,MATCH($B126,'ETAPA OBRA'!$B:$B,0))="x",'ETAPA OBRA'!U$1&amp;", ",""),LEN(
IF(INDEX('ETAPA OBRA'!C:C,MATCH($B126,'ETAPA OBRA'!$B:$B,0))="x",'ETAPA OBRA'!C$1&amp;", ","")&amp;
IF(INDEX('ETAPA OBRA'!D:D,MATCH($B126,'ETAPA OBRA'!$B:$B,0))="x",'ETAPA OBRA'!D$1&amp;", ","")&amp;
IF(INDEX('ETAPA OBRA'!F:F,MATCH($B126,'ETAPA OBRA'!$B:$B,0))="x",'ETAPA OBRA'!F$1&amp;", ","")&amp;
IF(INDEX('ETAPA OBRA'!G:G,MATCH($B126,'ETAPA OBRA'!$B:$B,0))="x",'ETAPA OBRA'!G$1&amp;", ","")&amp;
IF(INDEX('ETAPA OBRA'!H:H,MATCH($B126,'ETAPA OBRA'!$B:$B,0))="x",'ETAPA OBRA'!H$1&amp;", ","")&amp;
IF(INDEX('ETAPA OBRA'!I:I,MATCH($B126,'ETAPA OBRA'!$B:$B,0))="x",'ETAPA OBRA'!I$1&amp;", ","")&amp;
IF(INDEX('ETAPA OBRA'!J:J,MATCH($B126,'ETAPA OBRA'!$B:$B,0))="x",'ETAPA OBRA'!J$1&amp;", ","")&amp;
IF(INDEX('ETAPA OBRA'!K:K,MATCH($B126,'ETAPA OBRA'!$B:$B,0))="x",'ETAPA OBRA'!K$1&amp;", ","")&amp;
IF(INDEX('ETAPA OBRA'!L:L,MATCH($B126,'ETAPA OBRA'!$B:$B,0))="x",'ETAPA OBRA'!L$1&amp;", ","")&amp;
IF(INDEX('ETAPA OBRA'!M:M,MATCH($B126,'ETAPA OBRA'!$B:$B,0))="x",'ETAPA OBRA'!M$1&amp;", ","")&amp;
IF(INDEX('ETAPA OBRA'!N:N,MATCH($B126,'ETAPA OBRA'!$B:$B,0))="x",'ETAPA OBRA'!N$1&amp;", ","")&amp;
IF(INDEX('ETAPA OBRA'!O:O,MATCH($B126,'ETAPA OBRA'!$B:$B,0))="x",'ETAPA OBRA'!O$1&amp;", ","")&amp;
IF(INDEX('ETAPA OBRA'!P:P,MATCH($B126,'ETAPA OBRA'!$B:$B,0))="x",'ETAPA OBRA'!P$1&amp;", ","")&amp;
IF(INDEX('ETAPA OBRA'!Q:Q,MATCH($B126,'ETAPA OBRA'!$B:$B,0))="x",'ETAPA OBRA'!Q$1&amp;", ","")&amp;
IF(INDEX('ETAPA OBRA'!R:R,MATCH($B126,'ETAPA OBRA'!$B:$B,0))="x",'ETAPA OBRA'!R$1&amp;", ","")&amp;
IF(INDEX('ETAPA OBRA'!S:S,MATCH($B126,'ETAPA OBRA'!$B:$B,0))="x",'ETAPA OBRA'!S$1&amp;", ","")&amp;
IF(INDEX('ETAPA OBRA'!T:T,MATCH($B126,'ETAPA OBRA'!$B:$B,0))="x",'ETAPA OBRA'!T$1&amp;", ","")&amp;
IF(INDEX('ETAPA OBRA'!U:U,MATCH($B126,'ETAPA OBRA'!$B:$B,0))="x",'ETAPA OBRA'!U$1&amp;", ","")
)-2),"")</f>
        <v>Homologação</v>
      </c>
      <c r="N126" s="23" t="str">
        <f t="shared" si="14"/>
        <v>Em andamento</v>
      </c>
      <c r="O126" s="28">
        <v>5120</v>
      </c>
      <c r="P126" s="37">
        <f t="shared" si="10"/>
        <v>0</v>
      </c>
      <c r="Q126" s="28">
        <f t="shared" si="15"/>
        <v>5120</v>
      </c>
      <c r="R126" s="29">
        <f t="shared" si="16"/>
        <v>1</v>
      </c>
      <c r="S126" s="23" t="str">
        <f t="shared" si="17"/>
        <v>✅ OK - Fechar Parceiro</v>
      </c>
      <c r="T126" s="23" t="str">
        <f>Cronograma[[#This Row],[STATUS]]</f>
        <v>⚠️ PARALISADO</v>
      </c>
    </row>
    <row r="127" spans="1:20" ht="15" customHeight="1" x14ac:dyDescent="0.3">
      <c r="A127" s="23" t="s">
        <v>391</v>
      </c>
      <c r="B127" s="23" t="str">
        <f>IF(A127&lt;&gt;"","contel-"&amp;TEXT(COUNTA($A$2:A127),"00"),"")</f>
        <v>contel-126</v>
      </c>
      <c r="C127" s="23" t="s">
        <v>375</v>
      </c>
      <c r="D127" s="23" t="s">
        <v>392</v>
      </c>
      <c r="E127" s="23" t="s">
        <v>93</v>
      </c>
      <c r="F127" s="52" t="s">
        <v>393</v>
      </c>
      <c r="G127" s="23">
        <v>1906</v>
      </c>
      <c r="H127" s="30">
        <v>26945</v>
      </c>
      <c r="I127" s="23" t="s">
        <v>90</v>
      </c>
      <c r="J127" s="25">
        <f>SUM(EQUIPE!C127,EQUIPE!E127,EQUIPE!G127,EQUIPE!I127,EQUIPE!K127,EQUIPE!M127,EQUIPE!O127)</f>
        <v>0</v>
      </c>
      <c r="K127" s="25">
        <v>0</v>
      </c>
      <c r="L127" s="25">
        <v>0</v>
      </c>
      <c r="M127" s="27" t="str">
        <f>IFERROR(LEFT(
IF(INDEX('ETAPA OBRA'!C:C,MATCH($B127,'ETAPA OBRA'!$B:$B,0))="x",'ETAPA OBRA'!C$1&amp;", ","")&amp;
IF(INDEX('ETAPA OBRA'!D:D,MATCH($B127,'ETAPA OBRA'!$B:$B,0))="x",'ETAPA OBRA'!D$1&amp;", ","")&amp;
IF(INDEX('ETAPA OBRA'!F:F,MATCH($B127,'ETAPA OBRA'!$B:$B,0))="x",'ETAPA OBRA'!F$1&amp;", ","")&amp;
IF(INDEX('ETAPA OBRA'!G:G,MATCH($B127,'ETAPA OBRA'!$B:$B,0))="x",'ETAPA OBRA'!G$1&amp;", ","")&amp;
IF(INDEX('ETAPA OBRA'!H:H,MATCH($B127,'ETAPA OBRA'!$B:$B,0))="x",'ETAPA OBRA'!H$1&amp;", ","")&amp;
IF(INDEX('ETAPA OBRA'!I:I,MATCH($B127,'ETAPA OBRA'!$B:$B,0))="x",'ETAPA OBRA'!I$1&amp;", ","")&amp;
IF(INDEX('ETAPA OBRA'!J:J,MATCH($B127,'ETAPA OBRA'!$B:$B,0))="x",'ETAPA OBRA'!J$1&amp;", ","")&amp;
IF(INDEX('ETAPA OBRA'!K:K,MATCH($B127,'ETAPA OBRA'!$B:$B,0))="x",'ETAPA OBRA'!K$1&amp;", ","")&amp;
IF(INDEX('ETAPA OBRA'!L:L,MATCH($B127,'ETAPA OBRA'!$B:$B,0))="x",'ETAPA OBRA'!L$1&amp;", ","")&amp;
IF(INDEX('ETAPA OBRA'!M:M,MATCH($B127,'ETAPA OBRA'!$B:$B,0))="x",'ETAPA OBRA'!M$1&amp;", ","")&amp;
IF(INDEX('ETAPA OBRA'!N:N,MATCH($B127,'ETAPA OBRA'!$B:$B,0))="x",'ETAPA OBRA'!N$1&amp;", ","")&amp;
IF(INDEX('ETAPA OBRA'!O:O,MATCH($B127,'ETAPA OBRA'!$B:$B,0))="x",'ETAPA OBRA'!O$1&amp;", ","")&amp;
IF(INDEX('ETAPA OBRA'!P:P,MATCH($B127,'ETAPA OBRA'!$B:$B,0))="x",'ETAPA OBRA'!P$1&amp;", ","")&amp;
IF(INDEX('ETAPA OBRA'!Q:Q,MATCH($B127,'ETAPA OBRA'!$B:$B,0))="x",'ETAPA OBRA'!Q$1&amp;", ","")&amp;
IF(INDEX('ETAPA OBRA'!R:R,MATCH($B127,'ETAPA OBRA'!$B:$B,0))="x",'ETAPA OBRA'!R$1&amp;", ","")&amp;
IF(INDEX('ETAPA OBRA'!S:S,MATCH($B127,'ETAPA OBRA'!$B:$B,0))="x",'ETAPA OBRA'!S$1&amp;", ","")&amp;
IF(INDEX('ETAPA OBRA'!T:T,MATCH($B127,'ETAPA OBRA'!$B:$B,0))="x",'ETAPA OBRA'!T$1&amp;", ","")&amp;
IF(INDEX('ETAPA OBRA'!U:U,MATCH($B127,'ETAPA OBRA'!$B:$B,0))="x",'ETAPA OBRA'!U$1&amp;", ",""),LEN(
IF(INDEX('ETAPA OBRA'!C:C,MATCH($B127,'ETAPA OBRA'!$B:$B,0))="x",'ETAPA OBRA'!C$1&amp;", ","")&amp;
IF(INDEX('ETAPA OBRA'!D:D,MATCH($B127,'ETAPA OBRA'!$B:$B,0))="x",'ETAPA OBRA'!D$1&amp;", ","")&amp;
IF(INDEX('ETAPA OBRA'!F:F,MATCH($B127,'ETAPA OBRA'!$B:$B,0))="x",'ETAPA OBRA'!F$1&amp;", ","")&amp;
IF(INDEX('ETAPA OBRA'!G:G,MATCH($B127,'ETAPA OBRA'!$B:$B,0))="x",'ETAPA OBRA'!G$1&amp;", ","")&amp;
IF(INDEX('ETAPA OBRA'!H:H,MATCH($B127,'ETAPA OBRA'!$B:$B,0))="x",'ETAPA OBRA'!H$1&amp;", ","")&amp;
IF(INDEX('ETAPA OBRA'!I:I,MATCH($B127,'ETAPA OBRA'!$B:$B,0))="x",'ETAPA OBRA'!I$1&amp;", ","")&amp;
IF(INDEX('ETAPA OBRA'!J:J,MATCH($B127,'ETAPA OBRA'!$B:$B,0))="x",'ETAPA OBRA'!J$1&amp;", ","")&amp;
IF(INDEX('ETAPA OBRA'!K:K,MATCH($B127,'ETAPA OBRA'!$B:$B,0))="x",'ETAPA OBRA'!K$1&amp;", ","")&amp;
IF(INDEX('ETAPA OBRA'!L:L,MATCH($B127,'ETAPA OBRA'!$B:$B,0))="x",'ETAPA OBRA'!L$1&amp;", ","")&amp;
IF(INDEX('ETAPA OBRA'!M:M,MATCH($B127,'ETAPA OBRA'!$B:$B,0))="x",'ETAPA OBRA'!M$1&amp;", ","")&amp;
IF(INDEX('ETAPA OBRA'!N:N,MATCH($B127,'ETAPA OBRA'!$B:$B,0))="x",'ETAPA OBRA'!N$1&amp;", ","")&amp;
IF(INDEX('ETAPA OBRA'!O:O,MATCH($B127,'ETAPA OBRA'!$B:$B,0))="x",'ETAPA OBRA'!O$1&amp;", ","")&amp;
IF(INDEX('ETAPA OBRA'!P:P,MATCH($B127,'ETAPA OBRA'!$B:$B,0))="x",'ETAPA OBRA'!P$1&amp;", ","")&amp;
IF(INDEX('ETAPA OBRA'!Q:Q,MATCH($B127,'ETAPA OBRA'!$B:$B,0))="x",'ETAPA OBRA'!Q$1&amp;", ","")&amp;
IF(INDEX('ETAPA OBRA'!R:R,MATCH($B127,'ETAPA OBRA'!$B:$B,0))="x",'ETAPA OBRA'!R$1&amp;", ","")&amp;
IF(INDEX('ETAPA OBRA'!S:S,MATCH($B127,'ETAPA OBRA'!$B:$B,0))="x",'ETAPA OBRA'!S$1&amp;", ","")&amp;
IF(INDEX('ETAPA OBRA'!T:T,MATCH($B127,'ETAPA OBRA'!$B:$B,0))="x",'ETAPA OBRA'!T$1&amp;", ","")&amp;
IF(INDEX('ETAPA OBRA'!U:U,MATCH($B127,'ETAPA OBRA'!$B:$B,0))="x",'ETAPA OBRA'!U$1&amp;", ","")
)-2),"")</f>
        <v>Homologação</v>
      </c>
      <c r="N127" s="23" t="str">
        <f t="shared" si="14"/>
        <v>Em andamento</v>
      </c>
      <c r="O127" s="28">
        <v>5120</v>
      </c>
      <c r="P127" s="37">
        <f t="shared" si="10"/>
        <v>0</v>
      </c>
      <c r="Q127" s="28">
        <f t="shared" si="15"/>
        <v>5120</v>
      </c>
      <c r="R127" s="29">
        <f t="shared" si="16"/>
        <v>1</v>
      </c>
      <c r="S127" s="23" t="str">
        <f t="shared" si="17"/>
        <v>✅ OK - Fechar Parceiro</v>
      </c>
      <c r="T127" s="23" t="str">
        <f>Cronograma[[#This Row],[STATUS]]</f>
        <v>⚠️ PARALISADO</v>
      </c>
    </row>
    <row r="128" spans="1:20" ht="15" customHeight="1" x14ac:dyDescent="0.3">
      <c r="A128" s="23" t="s">
        <v>394</v>
      </c>
      <c r="B128" s="23" t="str">
        <f>IF(A128&lt;&gt;"","contel-"&amp;TEXT(COUNTA($A$2:A128),"00"),"")</f>
        <v>contel-127</v>
      </c>
      <c r="C128" s="23" t="s">
        <v>375</v>
      </c>
      <c r="D128" s="23" t="s">
        <v>395</v>
      </c>
      <c r="E128" s="23" t="s">
        <v>93</v>
      </c>
      <c r="F128" s="52" t="s">
        <v>396</v>
      </c>
      <c r="G128" s="23">
        <v>1906</v>
      </c>
      <c r="H128" s="30">
        <v>26944</v>
      </c>
      <c r="I128" s="23" t="s">
        <v>90</v>
      </c>
      <c r="J128" s="25">
        <f>SUM(EQUIPE!C128,EQUIPE!E128,EQUIPE!G128,EQUIPE!I128,EQUIPE!K128,EQUIPE!M128,EQUIPE!O128)</f>
        <v>0</v>
      </c>
      <c r="K128" s="25">
        <v>0</v>
      </c>
      <c r="L128" s="25">
        <v>0</v>
      </c>
      <c r="M128" s="27" t="str">
        <f>IFERROR(LEFT(
IF(INDEX('ETAPA OBRA'!C:C,MATCH($B128,'ETAPA OBRA'!$B:$B,0))="x",'ETAPA OBRA'!C$1&amp;", ","")&amp;
IF(INDEX('ETAPA OBRA'!D:D,MATCH($B128,'ETAPA OBRA'!$B:$B,0))="x",'ETAPA OBRA'!D$1&amp;", ","")&amp;
IF(INDEX('ETAPA OBRA'!F:F,MATCH($B128,'ETAPA OBRA'!$B:$B,0))="x",'ETAPA OBRA'!F$1&amp;", ","")&amp;
IF(INDEX('ETAPA OBRA'!G:G,MATCH($B128,'ETAPA OBRA'!$B:$B,0))="x",'ETAPA OBRA'!G$1&amp;", ","")&amp;
IF(INDEX('ETAPA OBRA'!H:H,MATCH($B128,'ETAPA OBRA'!$B:$B,0))="x",'ETAPA OBRA'!H$1&amp;", ","")&amp;
IF(INDEX('ETAPA OBRA'!I:I,MATCH($B128,'ETAPA OBRA'!$B:$B,0))="x",'ETAPA OBRA'!I$1&amp;", ","")&amp;
IF(INDEX('ETAPA OBRA'!J:J,MATCH($B128,'ETAPA OBRA'!$B:$B,0))="x",'ETAPA OBRA'!J$1&amp;", ","")&amp;
IF(INDEX('ETAPA OBRA'!K:K,MATCH($B128,'ETAPA OBRA'!$B:$B,0))="x",'ETAPA OBRA'!K$1&amp;", ","")&amp;
IF(INDEX('ETAPA OBRA'!L:L,MATCH($B128,'ETAPA OBRA'!$B:$B,0))="x",'ETAPA OBRA'!L$1&amp;", ","")&amp;
IF(INDEX('ETAPA OBRA'!M:M,MATCH($B128,'ETAPA OBRA'!$B:$B,0))="x",'ETAPA OBRA'!M$1&amp;", ","")&amp;
IF(INDEX('ETAPA OBRA'!N:N,MATCH($B128,'ETAPA OBRA'!$B:$B,0))="x",'ETAPA OBRA'!N$1&amp;", ","")&amp;
IF(INDEX('ETAPA OBRA'!O:O,MATCH($B128,'ETAPA OBRA'!$B:$B,0))="x",'ETAPA OBRA'!O$1&amp;", ","")&amp;
IF(INDEX('ETAPA OBRA'!P:P,MATCH($B128,'ETAPA OBRA'!$B:$B,0))="x",'ETAPA OBRA'!P$1&amp;", ","")&amp;
IF(INDEX('ETAPA OBRA'!Q:Q,MATCH($B128,'ETAPA OBRA'!$B:$B,0))="x",'ETAPA OBRA'!Q$1&amp;", ","")&amp;
IF(INDEX('ETAPA OBRA'!R:R,MATCH($B128,'ETAPA OBRA'!$B:$B,0))="x",'ETAPA OBRA'!R$1&amp;", ","")&amp;
IF(INDEX('ETAPA OBRA'!S:S,MATCH($B128,'ETAPA OBRA'!$B:$B,0))="x",'ETAPA OBRA'!S$1&amp;", ","")&amp;
IF(INDEX('ETAPA OBRA'!T:T,MATCH($B128,'ETAPA OBRA'!$B:$B,0))="x",'ETAPA OBRA'!T$1&amp;", ","")&amp;
IF(INDEX('ETAPA OBRA'!U:U,MATCH($B128,'ETAPA OBRA'!$B:$B,0))="x",'ETAPA OBRA'!U$1&amp;", ",""),LEN(
IF(INDEX('ETAPA OBRA'!C:C,MATCH($B128,'ETAPA OBRA'!$B:$B,0))="x",'ETAPA OBRA'!C$1&amp;", ","")&amp;
IF(INDEX('ETAPA OBRA'!D:D,MATCH($B128,'ETAPA OBRA'!$B:$B,0))="x",'ETAPA OBRA'!D$1&amp;", ","")&amp;
IF(INDEX('ETAPA OBRA'!F:F,MATCH($B128,'ETAPA OBRA'!$B:$B,0))="x",'ETAPA OBRA'!F$1&amp;", ","")&amp;
IF(INDEX('ETAPA OBRA'!G:G,MATCH($B128,'ETAPA OBRA'!$B:$B,0))="x",'ETAPA OBRA'!G$1&amp;", ","")&amp;
IF(INDEX('ETAPA OBRA'!H:H,MATCH($B128,'ETAPA OBRA'!$B:$B,0))="x",'ETAPA OBRA'!H$1&amp;", ","")&amp;
IF(INDEX('ETAPA OBRA'!I:I,MATCH($B128,'ETAPA OBRA'!$B:$B,0))="x",'ETAPA OBRA'!I$1&amp;", ","")&amp;
IF(INDEX('ETAPA OBRA'!J:J,MATCH($B128,'ETAPA OBRA'!$B:$B,0))="x",'ETAPA OBRA'!J$1&amp;", ","")&amp;
IF(INDEX('ETAPA OBRA'!K:K,MATCH($B128,'ETAPA OBRA'!$B:$B,0))="x",'ETAPA OBRA'!K$1&amp;", ","")&amp;
IF(INDEX('ETAPA OBRA'!L:L,MATCH($B128,'ETAPA OBRA'!$B:$B,0))="x",'ETAPA OBRA'!L$1&amp;", ","")&amp;
IF(INDEX('ETAPA OBRA'!M:M,MATCH($B128,'ETAPA OBRA'!$B:$B,0))="x",'ETAPA OBRA'!M$1&amp;", ","")&amp;
IF(INDEX('ETAPA OBRA'!N:N,MATCH($B128,'ETAPA OBRA'!$B:$B,0))="x",'ETAPA OBRA'!N$1&amp;", ","")&amp;
IF(INDEX('ETAPA OBRA'!O:O,MATCH($B128,'ETAPA OBRA'!$B:$B,0))="x",'ETAPA OBRA'!O$1&amp;", ","")&amp;
IF(INDEX('ETAPA OBRA'!P:P,MATCH($B128,'ETAPA OBRA'!$B:$B,0))="x",'ETAPA OBRA'!P$1&amp;", ","")&amp;
IF(INDEX('ETAPA OBRA'!Q:Q,MATCH($B128,'ETAPA OBRA'!$B:$B,0))="x",'ETAPA OBRA'!Q$1&amp;", ","")&amp;
IF(INDEX('ETAPA OBRA'!R:R,MATCH($B128,'ETAPA OBRA'!$B:$B,0))="x",'ETAPA OBRA'!R$1&amp;", ","")&amp;
IF(INDEX('ETAPA OBRA'!S:S,MATCH($B128,'ETAPA OBRA'!$B:$B,0))="x",'ETAPA OBRA'!S$1&amp;", ","")&amp;
IF(INDEX('ETAPA OBRA'!T:T,MATCH($B128,'ETAPA OBRA'!$B:$B,0))="x",'ETAPA OBRA'!T$1&amp;", ","")&amp;
IF(INDEX('ETAPA OBRA'!U:U,MATCH($B128,'ETAPA OBRA'!$B:$B,0))="x",'ETAPA OBRA'!U$1&amp;", ","")
)-2),"")</f>
        <v>Homologação</v>
      </c>
      <c r="N128" s="23" t="str">
        <f t="shared" si="14"/>
        <v>Em andamento</v>
      </c>
      <c r="O128" s="28">
        <v>5120</v>
      </c>
      <c r="P128" s="37">
        <f t="shared" si="10"/>
        <v>0</v>
      </c>
      <c r="Q128" s="28">
        <f t="shared" si="15"/>
        <v>5120</v>
      </c>
      <c r="R128" s="29">
        <f t="shared" si="16"/>
        <v>1</v>
      </c>
      <c r="S128" s="23" t="str">
        <f t="shared" si="17"/>
        <v>✅ OK - Fechar Parceiro</v>
      </c>
      <c r="T128" s="23" t="str">
        <f>Cronograma[[#This Row],[STATUS]]</f>
        <v>⚠️ PARALISADO</v>
      </c>
    </row>
    <row r="129" spans="1:20" ht="15" customHeight="1" x14ac:dyDescent="0.3">
      <c r="A129" s="23" t="s">
        <v>397</v>
      </c>
      <c r="B129" s="23" t="str">
        <f>IF(A129&lt;&gt;"","contel-"&amp;TEXT(COUNTA($A$2:A129),"00"),"")</f>
        <v>contel-128</v>
      </c>
      <c r="C129" s="23" t="s">
        <v>375</v>
      </c>
      <c r="D129" s="23" t="s">
        <v>398</v>
      </c>
      <c r="E129" s="23" t="s">
        <v>93</v>
      </c>
      <c r="F129" s="52" t="s">
        <v>399</v>
      </c>
      <c r="G129" s="23">
        <v>1906</v>
      </c>
      <c r="H129" s="30">
        <v>26943</v>
      </c>
      <c r="I129" s="23" t="s">
        <v>90</v>
      </c>
      <c r="J129" s="25">
        <f>SUM(EQUIPE!C129,EQUIPE!E129,EQUIPE!G129,EQUIPE!I129,EQUIPE!K129,EQUIPE!M129,EQUIPE!O129)</f>
        <v>0</v>
      </c>
      <c r="K129" s="25">
        <v>0</v>
      </c>
      <c r="L129" s="25">
        <v>0</v>
      </c>
      <c r="M129" s="27" t="str">
        <f>IFERROR(LEFT(
IF(INDEX('ETAPA OBRA'!C:C,MATCH($B129,'ETAPA OBRA'!$B:$B,0))="x",'ETAPA OBRA'!C$1&amp;", ","")&amp;
IF(INDEX('ETAPA OBRA'!D:D,MATCH($B129,'ETAPA OBRA'!$B:$B,0))="x",'ETAPA OBRA'!D$1&amp;", ","")&amp;
IF(INDEX('ETAPA OBRA'!F:F,MATCH($B129,'ETAPA OBRA'!$B:$B,0))="x",'ETAPA OBRA'!F$1&amp;", ","")&amp;
IF(INDEX('ETAPA OBRA'!G:G,MATCH($B129,'ETAPA OBRA'!$B:$B,0))="x",'ETAPA OBRA'!G$1&amp;", ","")&amp;
IF(INDEX('ETAPA OBRA'!H:H,MATCH($B129,'ETAPA OBRA'!$B:$B,0))="x",'ETAPA OBRA'!H$1&amp;", ","")&amp;
IF(INDEX('ETAPA OBRA'!I:I,MATCH($B129,'ETAPA OBRA'!$B:$B,0))="x",'ETAPA OBRA'!I$1&amp;", ","")&amp;
IF(INDEX('ETAPA OBRA'!J:J,MATCH($B129,'ETAPA OBRA'!$B:$B,0))="x",'ETAPA OBRA'!J$1&amp;", ","")&amp;
IF(INDEX('ETAPA OBRA'!K:K,MATCH($B129,'ETAPA OBRA'!$B:$B,0))="x",'ETAPA OBRA'!K$1&amp;", ","")&amp;
IF(INDEX('ETAPA OBRA'!L:L,MATCH($B129,'ETAPA OBRA'!$B:$B,0))="x",'ETAPA OBRA'!L$1&amp;", ","")&amp;
IF(INDEX('ETAPA OBRA'!M:M,MATCH($B129,'ETAPA OBRA'!$B:$B,0))="x",'ETAPA OBRA'!M$1&amp;", ","")&amp;
IF(INDEX('ETAPA OBRA'!N:N,MATCH($B129,'ETAPA OBRA'!$B:$B,0))="x",'ETAPA OBRA'!N$1&amp;", ","")&amp;
IF(INDEX('ETAPA OBRA'!O:O,MATCH($B129,'ETAPA OBRA'!$B:$B,0))="x",'ETAPA OBRA'!O$1&amp;", ","")&amp;
IF(INDEX('ETAPA OBRA'!P:P,MATCH($B129,'ETAPA OBRA'!$B:$B,0))="x",'ETAPA OBRA'!P$1&amp;", ","")&amp;
IF(INDEX('ETAPA OBRA'!Q:Q,MATCH($B129,'ETAPA OBRA'!$B:$B,0))="x",'ETAPA OBRA'!Q$1&amp;", ","")&amp;
IF(INDEX('ETAPA OBRA'!R:R,MATCH($B129,'ETAPA OBRA'!$B:$B,0))="x",'ETAPA OBRA'!R$1&amp;", ","")&amp;
IF(INDEX('ETAPA OBRA'!S:S,MATCH($B129,'ETAPA OBRA'!$B:$B,0))="x",'ETAPA OBRA'!S$1&amp;", ","")&amp;
IF(INDEX('ETAPA OBRA'!T:T,MATCH($B129,'ETAPA OBRA'!$B:$B,0))="x",'ETAPA OBRA'!T$1&amp;", ","")&amp;
IF(INDEX('ETAPA OBRA'!U:U,MATCH($B129,'ETAPA OBRA'!$B:$B,0))="x",'ETAPA OBRA'!U$1&amp;", ",""),LEN(
IF(INDEX('ETAPA OBRA'!C:C,MATCH($B129,'ETAPA OBRA'!$B:$B,0))="x",'ETAPA OBRA'!C$1&amp;", ","")&amp;
IF(INDEX('ETAPA OBRA'!D:D,MATCH($B129,'ETAPA OBRA'!$B:$B,0))="x",'ETAPA OBRA'!D$1&amp;", ","")&amp;
IF(INDEX('ETAPA OBRA'!F:F,MATCH($B129,'ETAPA OBRA'!$B:$B,0))="x",'ETAPA OBRA'!F$1&amp;", ","")&amp;
IF(INDEX('ETAPA OBRA'!G:G,MATCH($B129,'ETAPA OBRA'!$B:$B,0))="x",'ETAPA OBRA'!G$1&amp;", ","")&amp;
IF(INDEX('ETAPA OBRA'!H:H,MATCH($B129,'ETAPA OBRA'!$B:$B,0))="x",'ETAPA OBRA'!H$1&amp;", ","")&amp;
IF(INDEX('ETAPA OBRA'!I:I,MATCH($B129,'ETAPA OBRA'!$B:$B,0))="x",'ETAPA OBRA'!I$1&amp;", ","")&amp;
IF(INDEX('ETAPA OBRA'!J:J,MATCH($B129,'ETAPA OBRA'!$B:$B,0))="x",'ETAPA OBRA'!J$1&amp;", ","")&amp;
IF(INDEX('ETAPA OBRA'!K:K,MATCH($B129,'ETAPA OBRA'!$B:$B,0))="x",'ETAPA OBRA'!K$1&amp;", ","")&amp;
IF(INDEX('ETAPA OBRA'!L:L,MATCH($B129,'ETAPA OBRA'!$B:$B,0))="x",'ETAPA OBRA'!L$1&amp;", ","")&amp;
IF(INDEX('ETAPA OBRA'!M:M,MATCH($B129,'ETAPA OBRA'!$B:$B,0))="x",'ETAPA OBRA'!M$1&amp;", ","")&amp;
IF(INDEX('ETAPA OBRA'!N:N,MATCH($B129,'ETAPA OBRA'!$B:$B,0))="x",'ETAPA OBRA'!N$1&amp;", ","")&amp;
IF(INDEX('ETAPA OBRA'!O:O,MATCH($B129,'ETAPA OBRA'!$B:$B,0))="x",'ETAPA OBRA'!O$1&amp;", ","")&amp;
IF(INDEX('ETAPA OBRA'!P:P,MATCH($B129,'ETAPA OBRA'!$B:$B,0))="x",'ETAPA OBRA'!P$1&amp;", ","")&amp;
IF(INDEX('ETAPA OBRA'!Q:Q,MATCH($B129,'ETAPA OBRA'!$B:$B,0))="x",'ETAPA OBRA'!Q$1&amp;", ","")&amp;
IF(INDEX('ETAPA OBRA'!R:R,MATCH($B129,'ETAPA OBRA'!$B:$B,0))="x",'ETAPA OBRA'!R$1&amp;", ","")&amp;
IF(INDEX('ETAPA OBRA'!S:S,MATCH($B129,'ETAPA OBRA'!$B:$B,0))="x",'ETAPA OBRA'!S$1&amp;", ","")&amp;
IF(INDEX('ETAPA OBRA'!T:T,MATCH($B129,'ETAPA OBRA'!$B:$B,0))="x",'ETAPA OBRA'!T$1&amp;", ","")&amp;
IF(INDEX('ETAPA OBRA'!U:U,MATCH($B129,'ETAPA OBRA'!$B:$B,0))="x",'ETAPA OBRA'!U$1&amp;", ","")
)-2),"")</f>
        <v>Homologação</v>
      </c>
      <c r="N129" s="23" t="str">
        <f t="shared" si="14"/>
        <v>Em andamento</v>
      </c>
      <c r="O129" s="28">
        <v>5120</v>
      </c>
      <c r="P129" s="37">
        <f t="shared" si="10"/>
        <v>0</v>
      </c>
      <c r="Q129" s="28">
        <f t="shared" si="15"/>
        <v>5120</v>
      </c>
      <c r="R129" s="29">
        <f t="shared" si="16"/>
        <v>1</v>
      </c>
      <c r="S129" s="23" t="str">
        <f t="shared" si="17"/>
        <v>✅ OK - Fechar Parceiro</v>
      </c>
      <c r="T129" s="23" t="str">
        <f>Cronograma[[#This Row],[STATUS]]</f>
        <v>⚠️ PARALISADO</v>
      </c>
    </row>
    <row r="130" spans="1:20" ht="15" customHeight="1" x14ac:dyDescent="0.3">
      <c r="A130" s="23" t="s">
        <v>400</v>
      </c>
      <c r="B130" s="23" t="str">
        <f>IF(A130&lt;&gt;"","contel-"&amp;TEXT(COUNTA($A$2:A130),"00"),"")</f>
        <v>contel-129</v>
      </c>
      <c r="C130" s="23" t="s">
        <v>375</v>
      </c>
      <c r="D130" s="23" t="s">
        <v>401</v>
      </c>
      <c r="E130" s="23" t="s">
        <v>93</v>
      </c>
      <c r="F130" s="52" t="s">
        <v>402</v>
      </c>
      <c r="G130" s="23">
        <v>1906</v>
      </c>
      <c r="H130" s="30">
        <v>26942</v>
      </c>
      <c r="I130" s="23" t="s">
        <v>90</v>
      </c>
      <c r="J130" s="25">
        <f>SUM(EQUIPE!C130,EQUIPE!E130,EQUIPE!G130,EQUIPE!I130,EQUIPE!K130,EQUIPE!M130,EQUIPE!O130)</f>
        <v>0</v>
      </c>
      <c r="K130" s="25">
        <v>0</v>
      </c>
      <c r="L130" s="25">
        <v>0</v>
      </c>
      <c r="M130" s="27" t="str">
        <f>IFERROR(LEFT(
IF(INDEX('ETAPA OBRA'!C:C,MATCH($B130,'ETAPA OBRA'!$B:$B,0))="x",'ETAPA OBRA'!C$1&amp;", ","")&amp;
IF(INDEX('ETAPA OBRA'!D:D,MATCH($B130,'ETAPA OBRA'!$B:$B,0))="x",'ETAPA OBRA'!D$1&amp;", ","")&amp;
IF(INDEX('ETAPA OBRA'!F:F,MATCH($B130,'ETAPA OBRA'!$B:$B,0))="x",'ETAPA OBRA'!F$1&amp;", ","")&amp;
IF(INDEX('ETAPA OBRA'!G:G,MATCH($B130,'ETAPA OBRA'!$B:$B,0))="x",'ETAPA OBRA'!G$1&amp;", ","")&amp;
IF(INDEX('ETAPA OBRA'!H:H,MATCH($B130,'ETAPA OBRA'!$B:$B,0))="x",'ETAPA OBRA'!H$1&amp;", ","")&amp;
IF(INDEX('ETAPA OBRA'!I:I,MATCH($B130,'ETAPA OBRA'!$B:$B,0))="x",'ETAPA OBRA'!I$1&amp;", ","")&amp;
IF(INDEX('ETAPA OBRA'!J:J,MATCH($B130,'ETAPA OBRA'!$B:$B,0))="x",'ETAPA OBRA'!J$1&amp;", ","")&amp;
IF(INDEX('ETAPA OBRA'!K:K,MATCH($B130,'ETAPA OBRA'!$B:$B,0))="x",'ETAPA OBRA'!K$1&amp;", ","")&amp;
IF(INDEX('ETAPA OBRA'!L:L,MATCH($B130,'ETAPA OBRA'!$B:$B,0))="x",'ETAPA OBRA'!L$1&amp;", ","")&amp;
IF(INDEX('ETAPA OBRA'!M:M,MATCH($B130,'ETAPA OBRA'!$B:$B,0))="x",'ETAPA OBRA'!M$1&amp;", ","")&amp;
IF(INDEX('ETAPA OBRA'!N:N,MATCH($B130,'ETAPA OBRA'!$B:$B,0))="x",'ETAPA OBRA'!N$1&amp;", ","")&amp;
IF(INDEX('ETAPA OBRA'!O:O,MATCH($B130,'ETAPA OBRA'!$B:$B,0))="x",'ETAPA OBRA'!O$1&amp;", ","")&amp;
IF(INDEX('ETAPA OBRA'!P:P,MATCH($B130,'ETAPA OBRA'!$B:$B,0))="x",'ETAPA OBRA'!P$1&amp;", ","")&amp;
IF(INDEX('ETAPA OBRA'!Q:Q,MATCH($B130,'ETAPA OBRA'!$B:$B,0))="x",'ETAPA OBRA'!Q$1&amp;", ","")&amp;
IF(INDEX('ETAPA OBRA'!R:R,MATCH($B130,'ETAPA OBRA'!$B:$B,0))="x",'ETAPA OBRA'!R$1&amp;", ","")&amp;
IF(INDEX('ETAPA OBRA'!S:S,MATCH($B130,'ETAPA OBRA'!$B:$B,0))="x",'ETAPA OBRA'!S$1&amp;", ","")&amp;
IF(INDEX('ETAPA OBRA'!T:T,MATCH($B130,'ETAPA OBRA'!$B:$B,0))="x",'ETAPA OBRA'!T$1&amp;", ","")&amp;
IF(INDEX('ETAPA OBRA'!U:U,MATCH($B130,'ETAPA OBRA'!$B:$B,0))="x",'ETAPA OBRA'!U$1&amp;", ",""),LEN(
IF(INDEX('ETAPA OBRA'!C:C,MATCH($B130,'ETAPA OBRA'!$B:$B,0))="x",'ETAPA OBRA'!C$1&amp;", ","")&amp;
IF(INDEX('ETAPA OBRA'!D:D,MATCH($B130,'ETAPA OBRA'!$B:$B,0))="x",'ETAPA OBRA'!D$1&amp;", ","")&amp;
IF(INDEX('ETAPA OBRA'!F:F,MATCH($B130,'ETAPA OBRA'!$B:$B,0))="x",'ETAPA OBRA'!F$1&amp;", ","")&amp;
IF(INDEX('ETAPA OBRA'!G:G,MATCH($B130,'ETAPA OBRA'!$B:$B,0))="x",'ETAPA OBRA'!G$1&amp;", ","")&amp;
IF(INDEX('ETAPA OBRA'!H:H,MATCH($B130,'ETAPA OBRA'!$B:$B,0))="x",'ETAPA OBRA'!H$1&amp;", ","")&amp;
IF(INDEX('ETAPA OBRA'!I:I,MATCH($B130,'ETAPA OBRA'!$B:$B,0))="x",'ETAPA OBRA'!I$1&amp;", ","")&amp;
IF(INDEX('ETAPA OBRA'!J:J,MATCH($B130,'ETAPA OBRA'!$B:$B,0))="x",'ETAPA OBRA'!J$1&amp;", ","")&amp;
IF(INDEX('ETAPA OBRA'!K:K,MATCH($B130,'ETAPA OBRA'!$B:$B,0))="x",'ETAPA OBRA'!K$1&amp;", ","")&amp;
IF(INDEX('ETAPA OBRA'!L:L,MATCH($B130,'ETAPA OBRA'!$B:$B,0))="x",'ETAPA OBRA'!L$1&amp;", ","")&amp;
IF(INDEX('ETAPA OBRA'!M:M,MATCH($B130,'ETAPA OBRA'!$B:$B,0))="x",'ETAPA OBRA'!M$1&amp;", ","")&amp;
IF(INDEX('ETAPA OBRA'!N:N,MATCH($B130,'ETAPA OBRA'!$B:$B,0))="x",'ETAPA OBRA'!N$1&amp;", ","")&amp;
IF(INDEX('ETAPA OBRA'!O:O,MATCH($B130,'ETAPA OBRA'!$B:$B,0))="x",'ETAPA OBRA'!O$1&amp;", ","")&amp;
IF(INDEX('ETAPA OBRA'!P:P,MATCH($B130,'ETAPA OBRA'!$B:$B,0))="x",'ETAPA OBRA'!P$1&amp;", ","")&amp;
IF(INDEX('ETAPA OBRA'!Q:Q,MATCH($B130,'ETAPA OBRA'!$B:$B,0))="x",'ETAPA OBRA'!Q$1&amp;", ","")&amp;
IF(INDEX('ETAPA OBRA'!R:R,MATCH($B130,'ETAPA OBRA'!$B:$B,0))="x",'ETAPA OBRA'!R$1&amp;", ","")&amp;
IF(INDEX('ETAPA OBRA'!S:S,MATCH($B130,'ETAPA OBRA'!$B:$B,0))="x",'ETAPA OBRA'!S$1&amp;", ","")&amp;
IF(INDEX('ETAPA OBRA'!T:T,MATCH($B130,'ETAPA OBRA'!$B:$B,0))="x",'ETAPA OBRA'!T$1&amp;", ","")&amp;
IF(INDEX('ETAPA OBRA'!U:U,MATCH($B130,'ETAPA OBRA'!$B:$B,0))="x",'ETAPA OBRA'!U$1&amp;", ","")
)-2),"")</f>
        <v>Homologação</v>
      </c>
      <c r="N130" s="23" t="str">
        <f t="shared" ref="N130:N161" si="18">IF(M130="","Não iniciada",
IF(ISNUMBER(FIND("Cancelada",M130)),"Cancelada",
IF(ISNUMBER(FIND("Paralisada",M130)),"Paralisada",
IF(ISNUMBER(FIND("Finalizado",M130)),"Finalizado",
"Em andamento"))))</f>
        <v>Em andamento</v>
      </c>
      <c r="O130" s="28">
        <v>5120</v>
      </c>
      <c r="P130" s="37">
        <f t="shared" ref="P130:P169" si="19">SUM($J130:$L130)</f>
        <v>0</v>
      </c>
      <c r="Q130" s="28">
        <f t="shared" ref="Q130:Q156" si="20">O130-P130</f>
        <v>5120</v>
      </c>
      <c r="R130" s="29">
        <f t="shared" ref="R130:R156" si="21">IF(O130=0,0,Q130/O130)</f>
        <v>1</v>
      </c>
      <c r="S130" s="23" t="str">
        <f t="shared" ref="S130:S156" si="22">IF(R130&gt;=0.2,"✅ OK - Fechar Parceiro","⚠️ Ajustar Custos (&lt;20%)")</f>
        <v>✅ OK - Fechar Parceiro</v>
      </c>
      <c r="T130" s="23" t="str">
        <f>Cronograma[[#This Row],[STATUS]]</f>
        <v>⚠️ PARALISADO</v>
      </c>
    </row>
    <row r="131" spans="1:20" ht="15" customHeight="1" x14ac:dyDescent="0.3">
      <c r="A131" s="23" t="s">
        <v>403</v>
      </c>
      <c r="B131" s="23" t="str">
        <f>IF(A131&lt;&gt;"","contel-"&amp;TEXT(COUNTA($A$2:A131),"00"),"")</f>
        <v>contel-130</v>
      </c>
      <c r="C131" s="23" t="s">
        <v>78</v>
      </c>
      <c r="D131" s="23" t="s">
        <v>404</v>
      </c>
      <c r="E131" s="23" t="s">
        <v>192</v>
      </c>
      <c r="F131" s="52" t="s">
        <v>405</v>
      </c>
      <c r="G131" s="23">
        <v>1917</v>
      </c>
      <c r="H131" s="30">
        <v>27102</v>
      </c>
      <c r="I131" s="23" t="s">
        <v>25</v>
      </c>
      <c r="J131" s="25">
        <f>SUM(EQUIPE!C131,EQUIPE!E131,EQUIPE!G131,EQUIPE!I131,EQUIPE!K131,EQUIPE!M131,EQUIPE!O131)</f>
        <v>6200</v>
      </c>
      <c r="K131" s="25">
        <v>0</v>
      </c>
      <c r="L131" s="25">
        <v>0</v>
      </c>
      <c r="M131" s="27" t="str">
        <f ca="1">IFERROR(LEFT(
IF(INDEX('ETAPA OBRA'!C:C,MATCH($B131,'ETAPA OBRA'!$B:$B,0))="x",'ETAPA OBRA'!C$1&amp;", ","")&amp;
IF(INDEX('ETAPA OBRA'!D:D,MATCH($B131,'ETAPA OBRA'!$B:$B,0))="x",'ETAPA OBRA'!D$1&amp;", ","")&amp;
IF(INDEX('ETAPA OBRA'!F:F,MATCH($B131,'ETAPA OBRA'!$B:$B,0))="x",'ETAPA OBRA'!F$1&amp;", ","")&amp;
IF(INDEX('ETAPA OBRA'!G:G,MATCH($B131,'ETAPA OBRA'!$B:$B,0))="x",'ETAPA OBRA'!G$1&amp;", ","")&amp;
IF(INDEX('ETAPA OBRA'!H:H,MATCH($B131,'ETAPA OBRA'!$B:$B,0))="x",'ETAPA OBRA'!H$1&amp;", ","")&amp;
IF(INDEX('ETAPA OBRA'!I:I,MATCH($B131,'ETAPA OBRA'!$B:$B,0))="x",'ETAPA OBRA'!I$1&amp;", ","")&amp;
IF(INDEX('ETAPA OBRA'!J:J,MATCH($B131,'ETAPA OBRA'!$B:$B,0))="x",'ETAPA OBRA'!J$1&amp;", ","")&amp;
IF(INDEX('ETAPA OBRA'!K:K,MATCH($B131,'ETAPA OBRA'!$B:$B,0))="x",'ETAPA OBRA'!K$1&amp;", ","")&amp;
IF(INDEX('ETAPA OBRA'!L:L,MATCH($B131,'ETAPA OBRA'!$B:$B,0))="x",'ETAPA OBRA'!L$1&amp;", ","")&amp;
IF(INDEX('ETAPA OBRA'!M:M,MATCH($B131,'ETAPA OBRA'!$B:$B,0))="x",'ETAPA OBRA'!M$1&amp;", ","")&amp;
IF(INDEX('ETAPA OBRA'!N:N,MATCH($B131,'ETAPA OBRA'!$B:$B,0))="x",'ETAPA OBRA'!N$1&amp;", ","")&amp;
IF(INDEX('ETAPA OBRA'!O:O,MATCH($B131,'ETAPA OBRA'!$B:$B,0))="x",'ETAPA OBRA'!O$1&amp;", ","")&amp;
IF(INDEX('ETAPA OBRA'!P:P,MATCH($B131,'ETAPA OBRA'!$B:$B,0))="x",'ETAPA OBRA'!P$1&amp;", ","")&amp;
IF(INDEX('ETAPA OBRA'!Q:Q,MATCH($B131,'ETAPA OBRA'!$B:$B,0))="x",'ETAPA OBRA'!Q$1&amp;", ","")&amp;
IF(INDEX('ETAPA OBRA'!R:R,MATCH($B131,'ETAPA OBRA'!$B:$B,0))="x",'ETAPA OBRA'!R$1&amp;", ","")&amp;
IF(INDEX('ETAPA OBRA'!S:S,MATCH($B131,'ETAPA OBRA'!$B:$B,0))="x",'ETAPA OBRA'!S$1&amp;", ","")&amp;
IF(INDEX('ETAPA OBRA'!T:T,MATCH($B131,'ETAPA OBRA'!$B:$B,0))="x",'ETAPA OBRA'!T$1&amp;", ","")&amp;
IF(INDEX('ETAPA OBRA'!U:U,MATCH($B131,'ETAPA OBRA'!$B:$B,0))="x",'ETAPA OBRA'!U$1&amp;", ",""),LEN(
IF(INDEX('ETAPA OBRA'!C:C,MATCH($B131,'ETAPA OBRA'!$B:$B,0))="x",'ETAPA OBRA'!C$1&amp;", ","")&amp;
IF(INDEX('ETAPA OBRA'!D:D,MATCH($B131,'ETAPA OBRA'!$B:$B,0))="x",'ETAPA OBRA'!D$1&amp;", ","")&amp;
IF(INDEX('ETAPA OBRA'!F:F,MATCH($B131,'ETAPA OBRA'!$B:$B,0))="x",'ETAPA OBRA'!F$1&amp;", ","")&amp;
IF(INDEX('ETAPA OBRA'!G:G,MATCH($B131,'ETAPA OBRA'!$B:$B,0))="x",'ETAPA OBRA'!G$1&amp;", ","")&amp;
IF(INDEX('ETAPA OBRA'!H:H,MATCH($B131,'ETAPA OBRA'!$B:$B,0))="x",'ETAPA OBRA'!H$1&amp;", ","")&amp;
IF(INDEX('ETAPA OBRA'!I:I,MATCH($B131,'ETAPA OBRA'!$B:$B,0))="x",'ETAPA OBRA'!I$1&amp;", ","")&amp;
IF(INDEX('ETAPA OBRA'!J:J,MATCH($B131,'ETAPA OBRA'!$B:$B,0))="x",'ETAPA OBRA'!J$1&amp;", ","")&amp;
IF(INDEX('ETAPA OBRA'!K:K,MATCH($B131,'ETAPA OBRA'!$B:$B,0))="x",'ETAPA OBRA'!K$1&amp;", ","")&amp;
IF(INDEX('ETAPA OBRA'!L:L,MATCH($B131,'ETAPA OBRA'!$B:$B,0))="x",'ETAPA OBRA'!L$1&amp;", ","")&amp;
IF(INDEX('ETAPA OBRA'!M:M,MATCH($B131,'ETAPA OBRA'!$B:$B,0))="x",'ETAPA OBRA'!M$1&amp;", ","")&amp;
IF(INDEX('ETAPA OBRA'!N:N,MATCH($B131,'ETAPA OBRA'!$B:$B,0))="x",'ETAPA OBRA'!N$1&amp;", ","")&amp;
IF(INDEX('ETAPA OBRA'!O:O,MATCH($B131,'ETAPA OBRA'!$B:$B,0))="x",'ETAPA OBRA'!O$1&amp;", ","")&amp;
IF(INDEX('ETAPA OBRA'!P:P,MATCH($B131,'ETAPA OBRA'!$B:$B,0))="x",'ETAPA OBRA'!P$1&amp;", ","")&amp;
IF(INDEX('ETAPA OBRA'!Q:Q,MATCH($B131,'ETAPA OBRA'!$B:$B,0))="x",'ETAPA OBRA'!Q$1&amp;", ","")&amp;
IF(INDEX('ETAPA OBRA'!R:R,MATCH($B131,'ETAPA OBRA'!$B:$B,0))="x",'ETAPA OBRA'!R$1&amp;", ","")&amp;
IF(INDEX('ETAPA OBRA'!S:S,MATCH($B131,'ETAPA OBRA'!$B:$B,0))="x",'ETAPA OBRA'!S$1&amp;", ","")&amp;
IF(INDEX('ETAPA OBRA'!T:T,MATCH($B131,'ETAPA OBRA'!$B:$B,0))="x",'ETAPA OBRA'!T$1&amp;", ","")&amp;
IF(INDEX('ETAPA OBRA'!U:U,MATCH($B131,'ETAPA OBRA'!$B:$B,0))="x",'ETAPA OBRA'!U$1&amp;", ","")
)-2),"")</f>
        <v>Mapeamento, Projeto</v>
      </c>
      <c r="N131" s="23" t="str">
        <f t="shared" ca="1" si="18"/>
        <v>Em andamento</v>
      </c>
      <c r="O131" s="28">
        <v>188000</v>
      </c>
      <c r="P131" s="37">
        <f t="shared" si="19"/>
        <v>6200</v>
      </c>
      <c r="Q131" s="28">
        <f t="shared" si="20"/>
        <v>181800</v>
      </c>
      <c r="R131" s="29">
        <f t="shared" si="21"/>
        <v>0.96702127659574466</v>
      </c>
      <c r="S131" s="23" t="str">
        <f t="shared" si="22"/>
        <v>✅ OK - Fechar Parceiro</v>
      </c>
      <c r="T131" s="23" t="str">
        <f ca="1">Cronograma[[#This Row],[STATUS]]</f>
        <v>🕓 EM ANDAMENTO</v>
      </c>
    </row>
    <row r="132" spans="1:20" ht="15" customHeight="1" x14ac:dyDescent="0.3">
      <c r="A132" s="23" t="s">
        <v>406</v>
      </c>
      <c r="B132" s="23" t="str">
        <f>IF(A132&lt;&gt;"","contel-"&amp;TEXT(COUNTA($A$2:A132),"00"),"")</f>
        <v>contel-131</v>
      </c>
      <c r="C132" s="23" t="s">
        <v>78</v>
      </c>
      <c r="D132" s="23" t="s">
        <v>407</v>
      </c>
      <c r="E132" s="23" t="s">
        <v>75</v>
      </c>
      <c r="F132" s="52" t="s">
        <v>408</v>
      </c>
      <c r="G132" s="23">
        <v>1916</v>
      </c>
      <c r="H132" s="30">
        <v>27103</v>
      </c>
      <c r="I132" s="23" t="s">
        <v>25</v>
      </c>
      <c r="J132" s="25">
        <f>SUM(EQUIPE!C132,EQUIPE!E132,EQUIPE!G132,EQUIPE!I132,EQUIPE!K132,EQUIPE!M132,EQUIPE!O132)</f>
        <v>0</v>
      </c>
      <c r="K132" s="25">
        <v>0</v>
      </c>
      <c r="L132" s="25">
        <v>0</v>
      </c>
      <c r="M132" s="27" t="str">
        <f ca="1">IFERROR(LEFT(
IF(INDEX('ETAPA OBRA'!C:C,MATCH($B132,'ETAPA OBRA'!$B:$B,0))="x",'ETAPA OBRA'!C$1&amp;", ","")&amp;
IF(INDEX('ETAPA OBRA'!D:D,MATCH($B132,'ETAPA OBRA'!$B:$B,0))="x",'ETAPA OBRA'!D$1&amp;", ","")&amp;
IF(INDEX('ETAPA OBRA'!F:F,MATCH($B132,'ETAPA OBRA'!$B:$B,0))="x",'ETAPA OBRA'!F$1&amp;", ","")&amp;
IF(INDEX('ETAPA OBRA'!G:G,MATCH($B132,'ETAPA OBRA'!$B:$B,0))="x",'ETAPA OBRA'!G$1&amp;", ","")&amp;
IF(INDEX('ETAPA OBRA'!H:H,MATCH($B132,'ETAPA OBRA'!$B:$B,0))="x",'ETAPA OBRA'!H$1&amp;", ","")&amp;
IF(INDEX('ETAPA OBRA'!I:I,MATCH($B132,'ETAPA OBRA'!$B:$B,0))="x",'ETAPA OBRA'!I$1&amp;", ","")&amp;
IF(INDEX('ETAPA OBRA'!J:J,MATCH($B132,'ETAPA OBRA'!$B:$B,0))="x",'ETAPA OBRA'!J$1&amp;", ","")&amp;
IF(INDEX('ETAPA OBRA'!K:K,MATCH($B132,'ETAPA OBRA'!$B:$B,0))="x",'ETAPA OBRA'!K$1&amp;", ","")&amp;
IF(INDEX('ETAPA OBRA'!L:L,MATCH($B132,'ETAPA OBRA'!$B:$B,0))="x",'ETAPA OBRA'!L$1&amp;", ","")&amp;
IF(INDEX('ETAPA OBRA'!M:M,MATCH($B132,'ETAPA OBRA'!$B:$B,0))="x",'ETAPA OBRA'!M$1&amp;", ","")&amp;
IF(INDEX('ETAPA OBRA'!N:N,MATCH($B132,'ETAPA OBRA'!$B:$B,0))="x",'ETAPA OBRA'!N$1&amp;", ","")&amp;
IF(INDEX('ETAPA OBRA'!O:O,MATCH($B132,'ETAPA OBRA'!$B:$B,0))="x",'ETAPA OBRA'!O$1&amp;", ","")&amp;
IF(INDEX('ETAPA OBRA'!P:P,MATCH($B132,'ETAPA OBRA'!$B:$B,0))="x",'ETAPA OBRA'!P$1&amp;", ","")&amp;
IF(INDEX('ETAPA OBRA'!Q:Q,MATCH($B132,'ETAPA OBRA'!$B:$B,0))="x",'ETAPA OBRA'!Q$1&amp;", ","")&amp;
IF(INDEX('ETAPA OBRA'!R:R,MATCH($B132,'ETAPA OBRA'!$B:$B,0))="x",'ETAPA OBRA'!R$1&amp;", ","")&amp;
IF(INDEX('ETAPA OBRA'!S:S,MATCH($B132,'ETAPA OBRA'!$B:$B,0))="x",'ETAPA OBRA'!S$1&amp;", ","")&amp;
IF(INDEX('ETAPA OBRA'!T:T,MATCH($B132,'ETAPA OBRA'!$B:$B,0))="x",'ETAPA OBRA'!T$1&amp;", ","")&amp;
IF(INDEX('ETAPA OBRA'!U:U,MATCH($B132,'ETAPA OBRA'!$B:$B,0))="x",'ETAPA OBRA'!U$1&amp;", ",""),LEN(
IF(INDEX('ETAPA OBRA'!C:C,MATCH($B132,'ETAPA OBRA'!$B:$B,0))="x",'ETAPA OBRA'!C$1&amp;", ","")&amp;
IF(INDEX('ETAPA OBRA'!D:D,MATCH($B132,'ETAPA OBRA'!$B:$B,0))="x",'ETAPA OBRA'!D$1&amp;", ","")&amp;
IF(INDEX('ETAPA OBRA'!F:F,MATCH($B132,'ETAPA OBRA'!$B:$B,0))="x",'ETAPA OBRA'!F$1&amp;", ","")&amp;
IF(INDEX('ETAPA OBRA'!G:G,MATCH($B132,'ETAPA OBRA'!$B:$B,0))="x",'ETAPA OBRA'!G$1&amp;", ","")&amp;
IF(INDEX('ETAPA OBRA'!H:H,MATCH($B132,'ETAPA OBRA'!$B:$B,0))="x",'ETAPA OBRA'!H$1&amp;", ","")&amp;
IF(INDEX('ETAPA OBRA'!I:I,MATCH($B132,'ETAPA OBRA'!$B:$B,0))="x",'ETAPA OBRA'!I$1&amp;", ","")&amp;
IF(INDEX('ETAPA OBRA'!J:J,MATCH($B132,'ETAPA OBRA'!$B:$B,0))="x",'ETAPA OBRA'!J$1&amp;", ","")&amp;
IF(INDEX('ETAPA OBRA'!K:K,MATCH($B132,'ETAPA OBRA'!$B:$B,0))="x",'ETAPA OBRA'!K$1&amp;", ","")&amp;
IF(INDEX('ETAPA OBRA'!L:L,MATCH($B132,'ETAPA OBRA'!$B:$B,0))="x",'ETAPA OBRA'!L$1&amp;", ","")&amp;
IF(INDEX('ETAPA OBRA'!M:M,MATCH($B132,'ETAPA OBRA'!$B:$B,0))="x",'ETAPA OBRA'!M$1&amp;", ","")&amp;
IF(INDEX('ETAPA OBRA'!N:N,MATCH($B132,'ETAPA OBRA'!$B:$B,0))="x",'ETAPA OBRA'!N$1&amp;", ","")&amp;
IF(INDEX('ETAPA OBRA'!O:O,MATCH($B132,'ETAPA OBRA'!$B:$B,0))="x",'ETAPA OBRA'!O$1&amp;", ","")&amp;
IF(INDEX('ETAPA OBRA'!P:P,MATCH($B132,'ETAPA OBRA'!$B:$B,0))="x",'ETAPA OBRA'!P$1&amp;", ","")&amp;
IF(INDEX('ETAPA OBRA'!Q:Q,MATCH($B132,'ETAPA OBRA'!$B:$B,0))="x",'ETAPA OBRA'!Q$1&amp;", ","")&amp;
IF(INDEX('ETAPA OBRA'!R:R,MATCH($B132,'ETAPA OBRA'!$B:$B,0))="x",'ETAPA OBRA'!R$1&amp;", ","")&amp;
IF(INDEX('ETAPA OBRA'!S:S,MATCH($B132,'ETAPA OBRA'!$B:$B,0))="x",'ETAPA OBRA'!S$1&amp;", ","")&amp;
IF(INDEX('ETAPA OBRA'!T:T,MATCH($B132,'ETAPA OBRA'!$B:$B,0))="x",'ETAPA OBRA'!T$1&amp;", ","")&amp;
IF(INDEX('ETAPA OBRA'!U:U,MATCH($B132,'ETAPA OBRA'!$B:$B,0))="x",'ETAPA OBRA'!U$1&amp;", ","")
)-2),"")</f>
        <v>Mapeamento, Projeto</v>
      </c>
      <c r="N132" s="23" t="str">
        <f t="shared" ca="1" si="18"/>
        <v>Em andamento</v>
      </c>
      <c r="O132" s="28">
        <v>85480.95</v>
      </c>
      <c r="P132" s="37">
        <f t="shared" si="19"/>
        <v>0</v>
      </c>
      <c r="Q132" s="28">
        <f t="shared" si="20"/>
        <v>85480.95</v>
      </c>
      <c r="R132" s="29">
        <f t="shared" si="21"/>
        <v>1</v>
      </c>
      <c r="S132" s="23" t="str">
        <f t="shared" si="22"/>
        <v>✅ OK - Fechar Parceiro</v>
      </c>
      <c r="T132" s="23" t="str">
        <f ca="1">Cronograma[[#This Row],[STATUS]]</f>
        <v>🕓 EM ANDAMENTO</v>
      </c>
    </row>
    <row r="133" spans="1:20" ht="15" customHeight="1" x14ac:dyDescent="0.3">
      <c r="A133" s="23" t="s">
        <v>409</v>
      </c>
      <c r="B133" s="23" t="str">
        <f>IF(A133&lt;&gt;"","contel-"&amp;TEXT(COUNTA($A$2:A133),"00"),"")</f>
        <v>contel-132</v>
      </c>
      <c r="C133" s="23" t="s">
        <v>21</v>
      </c>
      <c r="D133" s="23" t="s">
        <v>410</v>
      </c>
      <c r="E133" s="23" t="s">
        <v>309</v>
      </c>
      <c r="F133" s="52" t="s">
        <v>411</v>
      </c>
      <c r="G133" s="23">
        <v>1923</v>
      </c>
      <c r="H133" s="30">
        <v>27110</v>
      </c>
      <c r="I133" s="23" t="s">
        <v>63</v>
      </c>
      <c r="J133" s="25">
        <f>SUM(EQUIPE!C133,EQUIPE!E133,EQUIPE!G133,EQUIPE!I133,EQUIPE!K133,EQUIPE!M133,EQUIPE!O133)</f>
        <v>10000</v>
      </c>
      <c r="K133" s="25">
        <v>0</v>
      </c>
      <c r="L133" s="25">
        <v>0</v>
      </c>
      <c r="M133" s="27" t="str">
        <f ca="1">IFERROR(LEFT(
IF(INDEX('ETAPA OBRA'!C:C,MATCH($B133,'ETAPA OBRA'!$B:$B,0))="x",'ETAPA OBRA'!C$1&amp;", ","")&amp;
IF(INDEX('ETAPA OBRA'!D:D,MATCH($B133,'ETAPA OBRA'!$B:$B,0))="x",'ETAPA OBRA'!D$1&amp;", ","")&amp;
IF(INDEX('ETAPA OBRA'!F:F,MATCH($B133,'ETAPA OBRA'!$B:$B,0))="x",'ETAPA OBRA'!F$1&amp;", ","")&amp;
IF(INDEX('ETAPA OBRA'!G:G,MATCH($B133,'ETAPA OBRA'!$B:$B,0))="x",'ETAPA OBRA'!G$1&amp;", ","")&amp;
IF(INDEX('ETAPA OBRA'!H:H,MATCH($B133,'ETAPA OBRA'!$B:$B,0))="x",'ETAPA OBRA'!H$1&amp;", ","")&amp;
IF(INDEX('ETAPA OBRA'!I:I,MATCH($B133,'ETAPA OBRA'!$B:$B,0))="x",'ETAPA OBRA'!I$1&amp;", ","")&amp;
IF(INDEX('ETAPA OBRA'!J:J,MATCH($B133,'ETAPA OBRA'!$B:$B,0))="x",'ETAPA OBRA'!J$1&amp;", ","")&amp;
IF(INDEX('ETAPA OBRA'!K:K,MATCH($B133,'ETAPA OBRA'!$B:$B,0))="x",'ETAPA OBRA'!K$1&amp;", ","")&amp;
IF(INDEX('ETAPA OBRA'!L:L,MATCH($B133,'ETAPA OBRA'!$B:$B,0))="x",'ETAPA OBRA'!L$1&amp;", ","")&amp;
IF(INDEX('ETAPA OBRA'!M:M,MATCH($B133,'ETAPA OBRA'!$B:$B,0))="x",'ETAPA OBRA'!M$1&amp;", ","")&amp;
IF(INDEX('ETAPA OBRA'!N:N,MATCH($B133,'ETAPA OBRA'!$B:$B,0))="x",'ETAPA OBRA'!N$1&amp;", ","")&amp;
IF(INDEX('ETAPA OBRA'!O:O,MATCH($B133,'ETAPA OBRA'!$B:$B,0))="x",'ETAPA OBRA'!O$1&amp;", ","")&amp;
IF(INDEX('ETAPA OBRA'!P:P,MATCH($B133,'ETAPA OBRA'!$B:$B,0))="x",'ETAPA OBRA'!P$1&amp;", ","")&amp;
IF(INDEX('ETAPA OBRA'!Q:Q,MATCH($B133,'ETAPA OBRA'!$B:$B,0))="x",'ETAPA OBRA'!Q$1&amp;", ","")&amp;
IF(INDEX('ETAPA OBRA'!R:R,MATCH($B133,'ETAPA OBRA'!$B:$B,0))="x",'ETAPA OBRA'!R$1&amp;", ","")&amp;
IF(INDEX('ETAPA OBRA'!S:S,MATCH($B133,'ETAPA OBRA'!$B:$B,0))="x",'ETAPA OBRA'!S$1&amp;", ","")&amp;
IF(INDEX('ETAPA OBRA'!T:T,MATCH($B133,'ETAPA OBRA'!$B:$B,0))="x",'ETAPA OBRA'!T$1&amp;", ","")&amp;
IF(INDEX('ETAPA OBRA'!U:U,MATCH($B133,'ETAPA OBRA'!$B:$B,0))="x",'ETAPA OBRA'!U$1&amp;", ",""),LEN(
IF(INDEX('ETAPA OBRA'!C:C,MATCH($B133,'ETAPA OBRA'!$B:$B,0))="x",'ETAPA OBRA'!C$1&amp;", ","")&amp;
IF(INDEX('ETAPA OBRA'!D:D,MATCH($B133,'ETAPA OBRA'!$B:$B,0))="x",'ETAPA OBRA'!D$1&amp;", ","")&amp;
IF(INDEX('ETAPA OBRA'!F:F,MATCH($B133,'ETAPA OBRA'!$B:$B,0))="x",'ETAPA OBRA'!F$1&amp;", ","")&amp;
IF(INDEX('ETAPA OBRA'!G:G,MATCH($B133,'ETAPA OBRA'!$B:$B,0))="x",'ETAPA OBRA'!G$1&amp;", ","")&amp;
IF(INDEX('ETAPA OBRA'!H:H,MATCH($B133,'ETAPA OBRA'!$B:$B,0))="x",'ETAPA OBRA'!H$1&amp;", ","")&amp;
IF(INDEX('ETAPA OBRA'!I:I,MATCH($B133,'ETAPA OBRA'!$B:$B,0))="x",'ETAPA OBRA'!I$1&amp;", ","")&amp;
IF(INDEX('ETAPA OBRA'!J:J,MATCH($B133,'ETAPA OBRA'!$B:$B,0))="x",'ETAPA OBRA'!J$1&amp;", ","")&amp;
IF(INDEX('ETAPA OBRA'!K:K,MATCH($B133,'ETAPA OBRA'!$B:$B,0))="x",'ETAPA OBRA'!K$1&amp;", ","")&amp;
IF(INDEX('ETAPA OBRA'!L:L,MATCH($B133,'ETAPA OBRA'!$B:$B,0))="x",'ETAPA OBRA'!L$1&amp;", ","")&amp;
IF(INDEX('ETAPA OBRA'!M:M,MATCH($B133,'ETAPA OBRA'!$B:$B,0))="x",'ETAPA OBRA'!M$1&amp;", ","")&amp;
IF(INDEX('ETAPA OBRA'!N:N,MATCH($B133,'ETAPA OBRA'!$B:$B,0))="x",'ETAPA OBRA'!N$1&amp;", ","")&amp;
IF(INDEX('ETAPA OBRA'!O:O,MATCH($B133,'ETAPA OBRA'!$B:$B,0))="x",'ETAPA OBRA'!O$1&amp;", ","")&amp;
IF(INDEX('ETAPA OBRA'!P:P,MATCH($B133,'ETAPA OBRA'!$B:$B,0))="x",'ETAPA OBRA'!P$1&amp;", ","")&amp;
IF(INDEX('ETAPA OBRA'!Q:Q,MATCH($B133,'ETAPA OBRA'!$B:$B,0))="x",'ETAPA OBRA'!Q$1&amp;", ","")&amp;
IF(INDEX('ETAPA OBRA'!R:R,MATCH($B133,'ETAPA OBRA'!$B:$B,0))="x",'ETAPA OBRA'!R$1&amp;", ","")&amp;
IF(INDEX('ETAPA OBRA'!S:S,MATCH($B133,'ETAPA OBRA'!$B:$B,0))="x",'ETAPA OBRA'!S$1&amp;", ","")&amp;
IF(INDEX('ETAPA OBRA'!T:T,MATCH($B133,'ETAPA OBRA'!$B:$B,0))="x",'ETAPA OBRA'!T$1&amp;", ","")&amp;
IF(INDEX('ETAPA OBRA'!U:U,MATCH($B133,'ETAPA OBRA'!$B:$B,0))="x",'ETAPA OBRA'!U$1&amp;", ","")
)-2),"")</f>
        <v>Execução</v>
      </c>
      <c r="N133" s="23" t="str">
        <f t="shared" ca="1" si="18"/>
        <v>Em andamento</v>
      </c>
      <c r="O133" s="28">
        <v>19259.8</v>
      </c>
      <c r="P133" s="37">
        <f t="shared" si="19"/>
        <v>10000</v>
      </c>
      <c r="Q133" s="28">
        <f t="shared" si="20"/>
        <v>9259.7999999999993</v>
      </c>
      <c r="R133" s="29">
        <f t="shared" si="21"/>
        <v>0.48078380876229243</v>
      </c>
      <c r="S133" s="23" t="str">
        <f t="shared" si="22"/>
        <v>✅ OK - Fechar Parceiro</v>
      </c>
      <c r="T133" s="23" t="str">
        <f ca="1">Cronograma[[#This Row],[STATUS]]</f>
        <v>🕓 EM ANDAMENTO</v>
      </c>
    </row>
    <row r="134" spans="1:20" ht="15" customHeight="1" x14ac:dyDescent="0.3">
      <c r="A134" s="23" t="s">
        <v>412</v>
      </c>
      <c r="B134" s="23" t="str">
        <f>IF(A134&lt;&gt;"","contel-"&amp;TEXT(COUNTA($A$2:A134),"00"),"")</f>
        <v>contel-133</v>
      </c>
      <c r="C134" s="23" t="s">
        <v>21</v>
      </c>
      <c r="D134" s="23" t="s">
        <v>413</v>
      </c>
      <c r="E134" s="23" t="s">
        <v>75</v>
      </c>
      <c r="F134" s="52" t="s">
        <v>414</v>
      </c>
      <c r="G134" s="23">
        <v>1915</v>
      </c>
      <c r="H134" s="30">
        <v>27101</v>
      </c>
      <c r="I134" s="23" t="s">
        <v>63</v>
      </c>
      <c r="J134" s="25">
        <f>SUM(EQUIPE!C134,EQUIPE!E134,EQUIPE!G134,EQUIPE!I134,EQUIPE!K134,EQUIPE!M134,EQUIPE!O134)</f>
        <v>200</v>
      </c>
      <c r="K134" s="25">
        <v>0</v>
      </c>
      <c r="L134" s="25">
        <v>0</v>
      </c>
      <c r="M134" s="27" t="str">
        <f ca="1">IFERROR(LEFT(
IF(INDEX('ETAPA OBRA'!C:C,MATCH($B134,'ETAPA OBRA'!$B:$B,0))="x",'ETAPA OBRA'!C$1&amp;", ","")&amp;
IF(INDEX('ETAPA OBRA'!D:D,MATCH($B134,'ETAPA OBRA'!$B:$B,0))="x",'ETAPA OBRA'!D$1&amp;", ","")&amp;
IF(INDEX('ETAPA OBRA'!F:F,MATCH($B134,'ETAPA OBRA'!$B:$B,0))="x",'ETAPA OBRA'!F$1&amp;", ","")&amp;
IF(INDEX('ETAPA OBRA'!G:G,MATCH($B134,'ETAPA OBRA'!$B:$B,0))="x",'ETAPA OBRA'!G$1&amp;", ","")&amp;
IF(INDEX('ETAPA OBRA'!H:H,MATCH($B134,'ETAPA OBRA'!$B:$B,0))="x",'ETAPA OBRA'!H$1&amp;", ","")&amp;
IF(INDEX('ETAPA OBRA'!I:I,MATCH($B134,'ETAPA OBRA'!$B:$B,0))="x",'ETAPA OBRA'!I$1&amp;", ","")&amp;
IF(INDEX('ETAPA OBRA'!J:J,MATCH($B134,'ETAPA OBRA'!$B:$B,0))="x",'ETAPA OBRA'!J$1&amp;", ","")&amp;
IF(INDEX('ETAPA OBRA'!K:K,MATCH($B134,'ETAPA OBRA'!$B:$B,0))="x",'ETAPA OBRA'!K$1&amp;", ","")&amp;
IF(INDEX('ETAPA OBRA'!L:L,MATCH($B134,'ETAPA OBRA'!$B:$B,0))="x",'ETAPA OBRA'!L$1&amp;", ","")&amp;
IF(INDEX('ETAPA OBRA'!M:M,MATCH($B134,'ETAPA OBRA'!$B:$B,0))="x",'ETAPA OBRA'!M$1&amp;", ","")&amp;
IF(INDEX('ETAPA OBRA'!N:N,MATCH($B134,'ETAPA OBRA'!$B:$B,0))="x",'ETAPA OBRA'!N$1&amp;", ","")&amp;
IF(INDEX('ETAPA OBRA'!O:O,MATCH($B134,'ETAPA OBRA'!$B:$B,0))="x",'ETAPA OBRA'!O$1&amp;", ","")&amp;
IF(INDEX('ETAPA OBRA'!P:P,MATCH($B134,'ETAPA OBRA'!$B:$B,0))="x",'ETAPA OBRA'!P$1&amp;", ","")&amp;
IF(INDEX('ETAPA OBRA'!Q:Q,MATCH($B134,'ETAPA OBRA'!$B:$B,0))="x",'ETAPA OBRA'!Q$1&amp;", ","")&amp;
IF(INDEX('ETAPA OBRA'!R:R,MATCH($B134,'ETAPA OBRA'!$B:$B,0))="x",'ETAPA OBRA'!R$1&amp;", ","")&amp;
IF(INDEX('ETAPA OBRA'!S:S,MATCH($B134,'ETAPA OBRA'!$B:$B,0))="x",'ETAPA OBRA'!S$1&amp;", ","")&amp;
IF(INDEX('ETAPA OBRA'!T:T,MATCH($B134,'ETAPA OBRA'!$B:$B,0))="x",'ETAPA OBRA'!T$1&amp;", ","")&amp;
IF(INDEX('ETAPA OBRA'!U:U,MATCH($B134,'ETAPA OBRA'!$B:$B,0))="x",'ETAPA OBRA'!U$1&amp;", ",""),LEN(
IF(INDEX('ETAPA OBRA'!C:C,MATCH($B134,'ETAPA OBRA'!$B:$B,0))="x",'ETAPA OBRA'!C$1&amp;", ","")&amp;
IF(INDEX('ETAPA OBRA'!D:D,MATCH($B134,'ETAPA OBRA'!$B:$B,0))="x",'ETAPA OBRA'!D$1&amp;", ","")&amp;
IF(INDEX('ETAPA OBRA'!F:F,MATCH($B134,'ETAPA OBRA'!$B:$B,0))="x",'ETAPA OBRA'!F$1&amp;", ","")&amp;
IF(INDEX('ETAPA OBRA'!G:G,MATCH($B134,'ETAPA OBRA'!$B:$B,0))="x",'ETAPA OBRA'!G$1&amp;", ","")&amp;
IF(INDEX('ETAPA OBRA'!H:H,MATCH($B134,'ETAPA OBRA'!$B:$B,0))="x",'ETAPA OBRA'!H$1&amp;", ","")&amp;
IF(INDEX('ETAPA OBRA'!I:I,MATCH($B134,'ETAPA OBRA'!$B:$B,0))="x",'ETAPA OBRA'!I$1&amp;", ","")&amp;
IF(INDEX('ETAPA OBRA'!J:J,MATCH($B134,'ETAPA OBRA'!$B:$B,0))="x",'ETAPA OBRA'!J$1&amp;", ","")&amp;
IF(INDEX('ETAPA OBRA'!K:K,MATCH($B134,'ETAPA OBRA'!$B:$B,0))="x",'ETAPA OBRA'!K$1&amp;", ","")&amp;
IF(INDEX('ETAPA OBRA'!L:L,MATCH($B134,'ETAPA OBRA'!$B:$B,0))="x",'ETAPA OBRA'!L$1&amp;", ","")&amp;
IF(INDEX('ETAPA OBRA'!M:M,MATCH($B134,'ETAPA OBRA'!$B:$B,0))="x",'ETAPA OBRA'!M$1&amp;", ","")&amp;
IF(INDEX('ETAPA OBRA'!N:N,MATCH($B134,'ETAPA OBRA'!$B:$B,0))="x",'ETAPA OBRA'!N$1&amp;", ","")&amp;
IF(INDEX('ETAPA OBRA'!O:O,MATCH($B134,'ETAPA OBRA'!$B:$B,0))="x",'ETAPA OBRA'!O$1&amp;", ","")&amp;
IF(INDEX('ETAPA OBRA'!P:P,MATCH($B134,'ETAPA OBRA'!$B:$B,0))="x",'ETAPA OBRA'!P$1&amp;", ","")&amp;
IF(INDEX('ETAPA OBRA'!Q:Q,MATCH($B134,'ETAPA OBRA'!$B:$B,0))="x",'ETAPA OBRA'!Q$1&amp;", ","")&amp;
IF(INDEX('ETAPA OBRA'!R:R,MATCH($B134,'ETAPA OBRA'!$B:$B,0))="x",'ETAPA OBRA'!R$1&amp;", ","")&amp;
IF(INDEX('ETAPA OBRA'!S:S,MATCH($B134,'ETAPA OBRA'!$B:$B,0))="x",'ETAPA OBRA'!S$1&amp;", ","")&amp;
IF(INDEX('ETAPA OBRA'!T:T,MATCH($B134,'ETAPA OBRA'!$B:$B,0))="x",'ETAPA OBRA'!T$1&amp;", ","")&amp;
IF(INDEX('ETAPA OBRA'!U:U,MATCH($B134,'ETAPA OBRA'!$B:$B,0))="x",'ETAPA OBRA'!U$1&amp;", ","")
)-2),"")</f>
        <v>Fabricação / Galvanização</v>
      </c>
      <c r="N134" s="23" t="str">
        <f t="shared" ca="1" si="18"/>
        <v>Em andamento</v>
      </c>
      <c r="O134" s="28">
        <v>7594.68</v>
      </c>
      <c r="P134" s="37">
        <f t="shared" si="19"/>
        <v>200</v>
      </c>
      <c r="Q134" s="28">
        <f t="shared" si="20"/>
        <v>7394.68</v>
      </c>
      <c r="R134" s="29">
        <f t="shared" si="21"/>
        <v>0.97366577656991471</v>
      </c>
      <c r="S134" s="23" t="str">
        <f t="shared" si="22"/>
        <v>✅ OK - Fechar Parceiro</v>
      </c>
      <c r="T134" s="23" t="str">
        <f ca="1">Cronograma[[#This Row],[STATUS]]</f>
        <v>🕓 EM ANDAMENTO</v>
      </c>
    </row>
    <row r="135" spans="1:20" ht="15" customHeight="1" x14ac:dyDescent="0.3">
      <c r="A135" s="23" t="s">
        <v>415</v>
      </c>
      <c r="B135" s="23" t="str">
        <f>IF(A135&lt;&gt;"","contel-"&amp;TEXT(COUNTA($A$2:A135),"00"),"")</f>
        <v>contel-134</v>
      </c>
      <c r="C135" s="23" t="s">
        <v>21</v>
      </c>
      <c r="D135" s="23" t="s">
        <v>416</v>
      </c>
      <c r="E135" s="23" t="s">
        <v>75</v>
      </c>
      <c r="F135" s="52" t="s">
        <v>417</v>
      </c>
      <c r="G135" s="23">
        <v>1926</v>
      </c>
      <c r="H135" s="30">
        <v>27172</v>
      </c>
      <c r="I135" s="23" t="s">
        <v>25</v>
      </c>
      <c r="J135" s="25">
        <f>SUM(EQUIPE!C135,EQUIPE!E135,EQUIPE!G135,EQUIPE!I135,EQUIPE!K135,EQUIPE!M135,EQUIPE!O135)</f>
        <v>1200</v>
      </c>
      <c r="K135" s="25">
        <v>0</v>
      </c>
      <c r="L135" s="25">
        <v>0</v>
      </c>
      <c r="M135" s="27" t="str">
        <f ca="1">IFERROR(LEFT(
IF(INDEX('ETAPA OBRA'!C:C,MATCH($B135,'ETAPA OBRA'!$B:$B,0))="x",'ETAPA OBRA'!C$1&amp;", ","")&amp;
IF(INDEX('ETAPA OBRA'!D:D,MATCH($B135,'ETAPA OBRA'!$B:$B,0))="x",'ETAPA OBRA'!D$1&amp;", ","")&amp;
IF(INDEX('ETAPA OBRA'!F:F,MATCH($B135,'ETAPA OBRA'!$B:$B,0))="x",'ETAPA OBRA'!F$1&amp;", ","")&amp;
IF(INDEX('ETAPA OBRA'!G:G,MATCH($B135,'ETAPA OBRA'!$B:$B,0))="x",'ETAPA OBRA'!G$1&amp;", ","")&amp;
IF(INDEX('ETAPA OBRA'!H:H,MATCH($B135,'ETAPA OBRA'!$B:$B,0))="x",'ETAPA OBRA'!H$1&amp;", ","")&amp;
IF(INDEX('ETAPA OBRA'!I:I,MATCH($B135,'ETAPA OBRA'!$B:$B,0))="x",'ETAPA OBRA'!I$1&amp;", ","")&amp;
IF(INDEX('ETAPA OBRA'!J:J,MATCH($B135,'ETAPA OBRA'!$B:$B,0))="x",'ETAPA OBRA'!J$1&amp;", ","")&amp;
IF(INDEX('ETAPA OBRA'!K:K,MATCH($B135,'ETAPA OBRA'!$B:$B,0))="x",'ETAPA OBRA'!K$1&amp;", ","")&amp;
IF(INDEX('ETAPA OBRA'!L:L,MATCH($B135,'ETAPA OBRA'!$B:$B,0))="x",'ETAPA OBRA'!L$1&amp;", ","")&amp;
IF(INDEX('ETAPA OBRA'!M:M,MATCH($B135,'ETAPA OBRA'!$B:$B,0))="x",'ETAPA OBRA'!M$1&amp;", ","")&amp;
IF(INDEX('ETAPA OBRA'!N:N,MATCH($B135,'ETAPA OBRA'!$B:$B,0))="x",'ETAPA OBRA'!N$1&amp;", ","")&amp;
IF(INDEX('ETAPA OBRA'!O:O,MATCH($B135,'ETAPA OBRA'!$B:$B,0))="x",'ETAPA OBRA'!O$1&amp;", ","")&amp;
IF(INDEX('ETAPA OBRA'!P:P,MATCH($B135,'ETAPA OBRA'!$B:$B,0))="x",'ETAPA OBRA'!P$1&amp;", ","")&amp;
IF(INDEX('ETAPA OBRA'!Q:Q,MATCH($B135,'ETAPA OBRA'!$B:$B,0))="x",'ETAPA OBRA'!Q$1&amp;", ","")&amp;
IF(INDEX('ETAPA OBRA'!R:R,MATCH($B135,'ETAPA OBRA'!$B:$B,0))="x",'ETAPA OBRA'!R$1&amp;", ","")&amp;
IF(INDEX('ETAPA OBRA'!S:S,MATCH($B135,'ETAPA OBRA'!$B:$B,0))="x",'ETAPA OBRA'!S$1&amp;", ","")&amp;
IF(INDEX('ETAPA OBRA'!T:T,MATCH($B135,'ETAPA OBRA'!$B:$B,0))="x",'ETAPA OBRA'!T$1&amp;", ","")&amp;
IF(INDEX('ETAPA OBRA'!U:U,MATCH($B135,'ETAPA OBRA'!$B:$B,0))="x",'ETAPA OBRA'!U$1&amp;", ",""),LEN(
IF(INDEX('ETAPA OBRA'!C:C,MATCH($B135,'ETAPA OBRA'!$B:$B,0))="x",'ETAPA OBRA'!C$1&amp;", ","")&amp;
IF(INDEX('ETAPA OBRA'!D:D,MATCH($B135,'ETAPA OBRA'!$B:$B,0))="x",'ETAPA OBRA'!D$1&amp;", ","")&amp;
IF(INDEX('ETAPA OBRA'!F:F,MATCH($B135,'ETAPA OBRA'!$B:$B,0))="x",'ETAPA OBRA'!F$1&amp;", ","")&amp;
IF(INDEX('ETAPA OBRA'!G:G,MATCH($B135,'ETAPA OBRA'!$B:$B,0))="x",'ETAPA OBRA'!G$1&amp;", ","")&amp;
IF(INDEX('ETAPA OBRA'!H:H,MATCH($B135,'ETAPA OBRA'!$B:$B,0))="x",'ETAPA OBRA'!H$1&amp;", ","")&amp;
IF(INDEX('ETAPA OBRA'!I:I,MATCH($B135,'ETAPA OBRA'!$B:$B,0))="x",'ETAPA OBRA'!I$1&amp;", ","")&amp;
IF(INDEX('ETAPA OBRA'!J:J,MATCH($B135,'ETAPA OBRA'!$B:$B,0))="x",'ETAPA OBRA'!J$1&amp;", ","")&amp;
IF(INDEX('ETAPA OBRA'!K:K,MATCH($B135,'ETAPA OBRA'!$B:$B,0))="x",'ETAPA OBRA'!K$1&amp;", ","")&amp;
IF(INDEX('ETAPA OBRA'!L:L,MATCH($B135,'ETAPA OBRA'!$B:$B,0))="x",'ETAPA OBRA'!L$1&amp;", ","")&amp;
IF(INDEX('ETAPA OBRA'!M:M,MATCH($B135,'ETAPA OBRA'!$B:$B,0))="x",'ETAPA OBRA'!M$1&amp;", ","")&amp;
IF(INDEX('ETAPA OBRA'!N:N,MATCH($B135,'ETAPA OBRA'!$B:$B,0))="x",'ETAPA OBRA'!N$1&amp;", ","")&amp;
IF(INDEX('ETAPA OBRA'!O:O,MATCH($B135,'ETAPA OBRA'!$B:$B,0))="x",'ETAPA OBRA'!O$1&amp;", ","")&amp;
IF(INDEX('ETAPA OBRA'!P:P,MATCH($B135,'ETAPA OBRA'!$B:$B,0))="x",'ETAPA OBRA'!P$1&amp;", ","")&amp;
IF(INDEX('ETAPA OBRA'!Q:Q,MATCH($B135,'ETAPA OBRA'!$B:$B,0))="x",'ETAPA OBRA'!Q$1&amp;", ","")&amp;
IF(INDEX('ETAPA OBRA'!R:R,MATCH($B135,'ETAPA OBRA'!$B:$B,0))="x",'ETAPA OBRA'!R$1&amp;", ","")&amp;
IF(INDEX('ETAPA OBRA'!S:S,MATCH($B135,'ETAPA OBRA'!$B:$B,0))="x",'ETAPA OBRA'!S$1&amp;", ","")&amp;
IF(INDEX('ETAPA OBRA'!T:T,MATCH($B135,'ETAPA OBRA'!$B:$B,0))="x",'ETAPA OBRA'!T$1&amp;", ","")&amp;
IF(INDEX('ETAPA OBRA'!U:U,MATCH($B135,'ETAPA OBRA'!$B:$B,0))="x",'ETAPA OBRA'!U$1&amp;", ","")
)-2),"")</f>
        <v>Mapeamento</v>
      </c>
      <c r="N135" s="23" t="str">
        <f t="shared" ca="1" si="18"/>
        <v>Em andamento</v>
      </c>
      <c r="O135" s="28">
        <v>65346.3</v>
      </c>
      <c r="P135" s="37">
        <f t="shared" si="19"/>
        <v>1200</v>
      </c>
      <c r="Q135" s="28">
        <f t="shared" si="20"/>
        <v>64146.3</v>
      </c>
      <c r="R135" s="29">
        <f t="shared" si="21"/>
        <v>0.98163629769397809</v>
      </c>
      <c r="S135" s="23" t="str">
        <f t="shared" si="22"/>
        <v>✅ OK - Fechar Parceiro</v>
      </c>
      <c r="T135" s="23" t="str">
        <f ca="1">Cronograma[[#This Row],[STATUS]]</f>
        <v>🕓 EM ANDAMENTO</v>
      </c>
    </row>
    <row r="136" spans="1:20" ht="15" customHeight="1" x14ac:dyDescent="0.3">
      <c r="A136" s="23" t="s">
        <v>418</v>
      </c>
      <c r="B136" s="23" t="str">
        <f>IF(A136&lt;&gt;"","contel-"&amp;TEXT(COUNTA($A$2:A136),"00"),"")</f>
        <v>contel-135</v>
      </c>
      <c r="C136" s="23" t="s">
        <v>78</v>
      </c>
      <c r="D136" s="23" t="s">
        <v>419</v>
      </c>
      <c r="E136" s="23" t="s">
        <v>188</v>
      </c>
      <c r="F136" s="52" t="s">
        <v>420</v>
      </c>
      <c r="G136" s="23">
        <v>1927</v>
      </c>
      <c r="H136" s="30">
        <v>27798</v>
      </c>
      <c r="I136" s="23" t="s">
        <v>25</v>
      </c>
      <c r="J136" s="25">
        <f>SUM(EQUIPE!C136,EQUIPE!E136,EQUIPE!G136,EQUIPE!I136,EQUIPE!K136,EQUIPE!M136,EQUIPE!O136)</f>
        <v>6260</v>
      </c>
      <c r="K136" s="25">
        <v>0</v>
      </c>
      <c r="L136" s="25">
        <v>0</v>
      </c>
      <c r="M136" s="27" t="str">
        <f ca="1">IFERROR(LEFT(
IF(INDEX('ETAPA OBRA'!C:C,MATCH($B136,'ETAPA OBRA'!$B:$B,0))="x",'ETAPA OBRA'!C$1&amp;", ","")&amp;
IF(INDEX('ETAPA OBRA'!D:D,MATCH($B136,'ETAPA OBRA'!$B:$B,0))="x",'ETAPA OBRA'!D$1&amp;", ","")&amp;
IF(INDEX('ETAPA OBRA'!F:F,MATCH($B136,'ETAPA OBRA'!$B:$B,0))="x",'ETAPA OBRA'!F$1&amp;", ","")&amp;
IF(INDEX('ETAPA OBRA'!G:G,MATCH($B136,'ETAPA OBRA'!$B:$B,0))="x",'ETAPA OBRA'!G$1&amp;", ","")&amp;
IF(INDEX('ETAPA OBRA'!H:H,MATCH($B136,'ETAPA OBRA'!$B:$B,0))="x",'ETAPA OBRA'!H$1&amp;", ","")&amp;
IF(INDEX('ETAPA OBRA'!I:I,MATCH($B136,'ETAPA OBRA'!$B:$B,0))="x",'ETAPA OBRA'!I$1&amp;", ","")&amp;
IF(INDEX('ETAPA OBRA'!J:J,MATCH($B136,'ETAPA OBRA'!$B:$B,0))="x",'ETAPA OBRA'!J$1&amp;", ","")&amp;
IF(INDEX('ETAPA OBRA'!K:K,MATCH($B136,'ETAPA OBRA'!$B:$B,0))="x",'ETAPA OBRA'!K$1&amp;", ","")&amp;
IF(INDEX('ETAPA OBRA'!L:L,MATCH($B136,'ETAPA OBRA'!$B:$B,0))="x",'ETAPA OBRA'!L$1&amp;", ","")&amp;
IF(INDEX('ETAPA OBRA'!M:M,MATCH($B136,'ETAPA OBRA'!$B:$B,0))="x",'ETAPA OBRA'!M$1&amp;", ","")&amp;
IF(INDEX('ETAPA OBRA'!N:N,MATCH($B136,'ETAPA OBRA'!$B:$B,0))="x",'ETAPA OBRA'!N$1&amp;", ","")&amp;
IF(INDEX('ETAPA OBRA'!O:O,MATCH($B136,'ETAPA OBRA'!$B:$B,0))="x",'ETAPA OBRA'!O$1&amp;", ","")&amp;
IF(INDEX('ETAPA OBRA'!P:P,MATCH($B136,'ETAPA OBRA'!$B:$B,0))="x",'ETAPA OBRA'!P$1&amp;", ","")&amp;
IF(INDEX('ETAPA OBRA'!Q:Q,MATCH($B136,'ETAPA OBRA'!$B:$B,0))="x",'ETAPA OBRA'!Q$1&amp;", ","")&amp;
IF(INDEX('ETAPA OBRA'!R:R,MATCH($B136,'ETAPA OBRA'!$B:$B,0))="x",'ETAPA OBRA'!R$1&amp;", ","")&amp;
IF(INDEX('ETAPA OBRA'!S:S,MATCH($B136,'ETAPA OBRA'!$B:$B,0))="x",'ETAPA OBRA'!S$1&amp;", ","")&amp;
IF(INDEX('ETAPA OBRA'!T:T,MATCH($B136,'ETAPA OBRA'!$B:$B,0))="x",'ETAPA OBRA'!T$1&amp;", ","")&amp;
IF(INDEX('ETAPA OBRA'!U:U,MATCH($B136,'ETAPA OBRA'!$B:$B,0))="x",'ETAPA OBRA'!U$1&amp;", ",""),LEN(
IF(INDEX('ETAPA OBRA'!C:C,MATCH($B136,'ETAPA OBRA'!$B:$B,0))="x",'ETAPA OBRA'!C$1&amp;", ","")&amp;
IF(INDEX('ETAPA OBRA'!D:D,MATCH($B136,'ETAPA OBRA'!$B:$B,0))="x",'ETAPA OBRA'!D$1&amp;", ","")&amp;
IF(INDEX('ETAPA OBRA'!F:F,MATCH($B136,'ETAPA OBRA'!$B:$B,0))="x",'ETAPA OBRA'!F$1&amp;", ","")&amp;
IF(INDEX('ETAPA OBRA'!G:G,MATCH($B136,'ETAPA OBRA'!$B:$B,0))="x",'ETAPA OBRA'!G$1&amp;", ","")&amp;
IF(INDEX('ETAPA OBRA'!H:H,MATCH($B136,'ETAPA OBRA'!$B:$B,0))="x",'ETAPA OBRA'!H$1&amp;", ","")&amp;
IF(INDEX('ETAPA OBRA'!I:I,MATCH($B136,'ETAPA OBRA'!$B:$B,0))="x",'ETAPA OBRA'!I$1&amp;", ","")&amp;
IF(INDEX('ETAPA OBRA'!J:J,MATCH($B136,'ETAPA OBRA'!$B:$B,0))="x",'ETAPA OBRA'!J$1&amp;", ","")&amp;
IF(INDEX('ETAPA OBRA'!K:K,MATCH($B136,'ETAPA OBRA'!$B:$B,0))="x",'ETAPA OBRA'!K$1&amp;", ","")&amp;
IF(INDEX('ETAPA OBRA'!L:L,MATCH($B136,'ETAPA OBRA'!$B:$B,0))="x",'ETAPA OBRA'!L$1&amp;", ","")&amp;
IF(INDEX('ETAPA OBRA'!M:M,MATCH($B136,'ETAPA OBRA'!$B:$B,0))="x",'ETAPA OBRA'!M$1&amp;", ","")&amp;
IF(INDEX('ETAPA OBRA'!N:N,MATCH($B136,'ETAPA OBRA'!$B:$B,0))="x",'ETAPA OBRA'!N$1&amp;", ","")&amp;
IF(INDEX('ETAPA OBRA'!O:O,MATCH($B136,'ETAPA OBRA'!$B:$B,0))="x",'ETAPA OBRA'!O$1&amp;", ","")&amp;
IF(INDEX('ETAPA OBRA'!P:P,MATCH($B136,'ETAPA OBRA'!$B:$B,0))="x",'ETAPA OBRA'!P$1&amp;", ","")&amp;
IF(INDEX('ETAPA OBRA'!Q:Q,MATCH($B136,'ETAPA OBRA'!$B:$B,0))="x",'ETAPA OBRA'!Q$1&amp;", ","")&amp;
IF(INDEX('ETAPA OBRA'!R:R,MATCH($B136,'ETAPA OBRA'!$B:$B,0))="x",'ETAPA OBRA'!R$1&amp;", ","")&amp;
IF(INDEX('ETAPA OBRA'!S:S,MATCH($B136,'ETAPA OBRA'!$B:$B,0))="x",'ETAPA OBRA'!S$1&amp;", ","")&amp;
IF(INDEX('ETAPA OBRA'!T:T,MATCH($B136,'ETAPA OBRA'!$B:$B,0))="x",'ETAPA OBRA'!T$1&amp;", ","")&amp;
IF(INDEX('ETAPA OBRA'!U:U,MATCH($B136,'ETAPA OBRA'!$B:$B,0))="x",'ETAPA OBRA'!U$1&amp;", ","")
)-2),"")</f>
        <v>Projeto</v>
      </c>
      <c r="N136" s="23" t="str">
        <f t="shared" ca="1" si="18"/>
        <v>Em andamento</v>
      </c>
      <c r="O136" s="28">
        <v>22150</v>
      </c>
      <c r="P136" s="37">
        <f t="shared" si="19"/>
        <v>6260</v>
      </c>
      <c r="Q136" s="28">
        <f t="shared" si="20"/>
        <v>15890</v>
      </c>
      <c r="R136" s="29">
        <f t="shared" si="21"/>
        <v>0.71738148984198646</v>
      </c>
      <c r="S136" s="23" t="str">
        <f t="shared" si="22"/>
        <v>✅ OK - Fechar Parceiro</v>
      </c>
      <c r="T136" s="23" t="str">
        <f ca="1">Cronograma[[#This Row],[STATUS]]</f>
        <v>🕓 EM ANDAMENTO</v>
      </c>
    </row>
    <row r="137" spans="1:20" ht="15" customHeight="1" x14ac:dyDescent="0.3">
      <c r="A137" s="23" t="s">
        <v>421</v>
      </c>
      <c r="B137" s="23" t="str">
        <f>IF(A137&lt;&gt;"","contel-"&amp;TEXT(COUNTA($A$2:A137),"00"),"")</f>
        <v>contel-136</v>
      </c>
      <c r="C137" s="23" t="s">
        <v>78</v>
      </c>
      <c r="D137" s="23" t="s">
        <v>422</v>
      </c>
      <c r="E137" s="23" t="s">
        <v>75</v>
      </c>
      <c r="F137" s="52" t="s">
        <v>423</v>
      </c>
      <c r="G137" s="23">
        <v>1928</v>
      </c>
      <c r="H137" s="30">
        <v>27791</v>
      </c>
      <c r="I137" s="23" t="s">
        <v>34</v>
      </c>
      <c r="J137" s="25">
        <f>SUM(EQUIPE!C137,EQUIPE!E137,EQUIPE!G137,EQUIPE!I137,EQUIPE!K137,EQUIPE!M137,EQUIPE!O137)</f>
        <v>1160</v>
      </c>
      <c r="K137" s="25">
        <v>0</v>
      </c>
      <c r="L137" s="25">
        <v>0</v>
      </c>
      <c r="M137" s="27" t="str">
        <f ca="1">IFERROR(LEFT(
IF(INDEX('ETAPA OBRA'!C:C,MATCH($B137,'ETAPA OBRA'!$B:$B,0))="x",'ETAPA OBRA'!C$1&amp;", ","")&amp;
IF(INDEX('ETAPA OBRA'!D:D,MATCH($B137,'ETAPA OBRA'!$B:$B,0))="x",'ETAPA OBRA'!D$1&amp;", ","")&amp;
IF(INDEX('ETAPA OBRA'!F:F,MATCH($B137,'ETAPA OBRA'!$B:$B,0))="x",'ETAPA OBRA'!F$1&amp;", ","")&amp;
IF(INDEX('ETAPA OBRA'!G:G,MATCH($B137,'ETAPA OBRA'!$B:$B,0))="x",'ETAPA OBRA'!G$1&amp;", ","")&amp;
IF(INDEX('ETAPA OBRA'!H:H,MATCH($B137,'ETAPA OBRA'!$B:$B,0))="x",'ETAPA OBRA'!H$1&amp;", ","")&amp;
IF(INDEX('ETAPA OBRA'!I:I,MATCH($B137,'ETAPA OBRA'!$B:$B,0))="x",'ETAPA OBRA'!I$1&amp;", ","")&amp;
IF(INDEX('ETAPA OBRA'!J:J,MATCH($B137,'ETAPA OBRA'!$B:$B,0))="x",'ETAPA OBRA'!J$1&amp;", ","")&amp;
IF(INDEX('ETAPA OBRA'!K:K,MATCH($B137,'ETAPA OBRA'!$B:$B,0))="x",'ETAPA OBRA'!K$1&amp;", ","")&amp;
IF(INDEX('ETAPA OBRA'!L:L,MATCH($B137,'ETAPA OBRA'!$B:$B,0))="x",'ETAPA OBRA'!L$1&amp;", ","")&amp;
IF(INDEX('ETAPA OBRA'!M:M,MATCH($B137,'ETAPA OBRA'!$B:$B,0))="x",'ETAPA OBRA'!M$1&amp;", ","")&amp;
IF(INDEX('ETAPA OBRA'!N:N,MATCH($B137,'ETAPA OBRA'!$B:$B,0))="x",'ETAPA OBRA'!N$1&amp;", ","")&amp;
IF(INDEX('ETAPA OBRA'!O:O,MATCH($B137,'ETAPA OBRA'!$B:$B,0))="x",'ETAPA OBRA'!O$1&amp;", ","")&amp;
IF(INDEX('ETAPA OBRA'!P:P,MATCH($B137,'ETAPA OBRA'!$B:$B,0))="x",'ETAPA OBRA'!P$1&amp;", ","")&amp;
IF(INDEX('ETAPA OBRA'!Q:Q,MATCH($B137,'ETAPA OBRA'!$B:$B,0))="x",'ETAPA OBRA'!Q$1&amp;", ","")&amp;
IF(INDEX('ETAPA OBRA'!R:R,MATCH($B137,'ETAPA OBRA'!$B:$B,0))="x",'ETAPA OBRA'!R$1&amp;", ","")&amp;
IF(INDEX('ETAPA OBRA'!S:S,MATCH($B137,'ETAPA OBRA'!$B:$B,0))="x",'ETAPA OBRA'!S$1&amp;", ","")&amp;
IF(INDEX('ETAPA OBRA'!T:T,MATCH($B137,'ETAPA OBRA'!$B:$B,0))="x",'ETAPA OBRA'!T$1&amp;", ","")&amp;
IF(INDEX('ETAPA OBRA'!U:U,MATCH($B137,'ETAPA OBRA'!$B:$B,0))="x",'ETAPA OBRA'!U$1&amp;", ",""),LEN(
IF(INDEX('ETAPA OBRA'!C:C,MATCH($B137,'ETAPA OBRA'!$B:$B,0))="x",'ETAPA OBRA'!C$1&amp;", ","")&amp;
IF(INDEX('ETAPA OBRA'!D:D,MATCH($B137,'ETAPA OBRA'!$B:$B,0))="x",'ETAPA OBRA'!D$1&amp;", ","")&amp;
IF(INDEX('ETAPA OBRA'!F:F,MATCH($B137,'ETAPA OBRA'!$B:$B,0))="x",'ETAPA OBRA'!F$1&amp;", ","")&amp;
IF(INDEX('ETAPA OBRA'!G:G,MATCH($B137,'ETAPA OBRA'!$B:$B,0))="x",'ETAPA OBRA'!G$1&amp;", ","")&amp;
IF(INDEX('ETAPA OBRA'!H:H,MATCH($B137,'ETAPA OBRA'!$B:$B,0))="x",'ETAPA OBRA'!H$1&amp;", ","")&amp;
IF(INDEX('ETAPA OBRA'!I:I,MATCH($B137,'ETAPA OBRA'!$B:$B,0))="x",'ETAPA OBRA'!I$1&amp;", ","")&amp;
IF(INDEX('ETAPA OBRA'!J:J,MATCH($B137,'ETAPA OBRA'!$B:$B,0))="x",'ETAPA OBRA'!J$1&amp;", ","")&amp;
IF(INDEX('ETAPA OBRA'!K:K,MATCH($B137,'ETAPA OBRA'!$B:$B,0))="x",'ETAPA OBRA'!K$1&amp;", ","")&amp;
IF(INDEX('ETAPA OBRA'!L:L,MATCH($B137,'ETAPA OBRA'!$B:$B,0))="x",'ETAPA OBRA'!L$1&amp;", ","")&amp;
IF(INDEX('ETAPA OBRA'!M:M,MATCH($B137,'ETAPA OBRA'!$B:$B,0))="x",'ETAPA OBRA'!M$1&amp;", ","")&amp;
IF(INDEX('ETAPA OBRA'!N:N,MATCH($B137,'ETAPA OBRA'!$B:$B,0))="x",'ETAPA OBRA'!N$1&amp;", ","")&amp;
IF(INDEX('ETAPA OBRA'!O:O,MATCH($B137,'ETAPA OBRA'!$B:$B,0))="x",'ETAPA OBRA'!O$1&amp;", ","")&amp;
IF(INDEX('ETAPA OBRA'!P:P,MATCH($B137,'ETAPA OBRA'!$B:$B,0))="x",'ETAPA OBRA'!P$1&amp;", ","")&amp;
IF(INDEX('ETAPA OBRA'!Q:Q,MATCH($B137,'ETAPA OBRA'!$B:$B,0))="x",'ETAPA OBRA'!Q$1&amp;", ","")&amp;
IF(INDEX('ETAPA OBRA'!R:R,MATCH($B137,'ETAPA OBRA'!$B:$B,0))="x",'ETAPA OBRA'!R$1&amp;", ","")&amp;
IF(INDEX('ETAPA OBRA'!S:S,MATCH($B137,'ETAPA OBRA'!$B:$B,0))="x",'ETAPA OBRA'!S$1&amp;", ","")&amp;
IF(INDEX('ETAPA OBRA'!T:T,MATCH($B137,'ETAPA OBRA'!$B:$B,0))="x",'ETAPA OBRA'!T$1&amp;", ","")&amp;
IF(INDEX('ETAPA OBRA'!U:U,MATCH($B137,'ETAPA OBRA'!$B:$B,0))="x",'ETAPA OBRA'!U$1&amp;", ","")
)-2),"")</f>
        <v>Projeto</v>
      </c>
      <c r="N137" s="23" t="str">
        <f t="shared" ca="1" si="18"/>
        <v>Em andamento</v>
      </c>
      <c r="O137" s="28">
        <v>4450</v>
      </c>
      <c r="P137" s="37">
        <f t="shared" si="19"/>
        <v>1160</v>
      </c>
      <c r="Q137" s="28">
        <f t="shared" si="20"/>
        <v>3290</v>
      </c>
      <c r="R137" s="29">
        <f t="shared" si="21"/>
        <v>0.73932584269662927</v>
      </c>
      <c r="S137" s="23" t="str">
        <f t="shared" si="22"/>
        <v>✅ OK - Fechar Parceiro</v>
      </c>
      <c r="T137" s="23" t="str">
        <f ca="1">Cronograma[[#This Row],[STATUS]]</f>
        <v>🕓 EM ANDAMENTO</v>
      </c>
    </row>
    <row r="138" spans="1:20" ht="15" customHeight="1" x14ac:dyDescent="0.3">
      <c r="A138" s="23" t="s">
        <v>424</v>
      </c>
      <c r="B138" s="23" t="str">
        <f>IF(A138&lt;&gt;"","contel-"&amp;TEXT(COUNTA($A$2:A138),"00"),"")</f>
        <v>contel-137</v>
      </c>
      <c r="C138" s="23" t="s">
        <v>120</v>
      </c>
      <c r="D138" s="23" t="s">
        <v>425</v>
      </c>
      <c r="E138" s="23" t="s">
        <v>32</v>
      </c>
      <c r="F138" s="52" t="s">
        <v>426</v>
      </c>
      <c r="G138" s="23">
        <v>1766</v>
      </c>
      <c r="H138" s="30">
        <v>4017</v>
      </c>
      <c r="I138" s="23" t="s">
        <v>297</v>
      </c>
      <c r="J138" s="25">
        <f>SUM(EQUIPE!C138,EQUIPE!E138,EQUIPE!G138,EQUIPE!I138,EQUIPE!K138,EQUIPE!M138,EQUIPE!O138)</f>
        <v>1500</v>
      </c>
      <c r="K138" s="25">
        <v>2014.02</v>
      </c>
      <c r="L138" s="25">
        <v>0</v>
      </c>
      <c r="M138" s="27" t="str">
        <f ca="1">IFERROR(LEFT(
IF(INDEX('ETAPA OBRA'!C:C,MATCH($B138,'ETAPA OBRA'!$B:$B,0))="x",'ETAPA OBRA'!C$1&amp;", ","")&amp;
IF(INDEX('ETAPA OBRA'!D:D,MATCH($B138,'ETAPA OBRA'!$B:$B,0))="x",'ETAPA OBRA'!D$1&amp;", ","")&amp;
IF(INDEX('ETAPA OBRA'!F:F,MATCH($B138,'ETAPA OBRA'!$B:$B,0))="x",'ETAPA OBRA'!F$1&amp;", ","")&amp;
IF(INDEX('ETAPA OBRA'!G:G,MATCH($B138,'ETAPA OBRA'!$B:$B,0))="x",'ETAPA OBRA'!G$1&amp;", ","")&amp;
IF(INDEX('ETAPA OBRA'!H:H,MATCH($B138,'ETAPA OBRA'!$B:$B,0))="x",'ETAPA OBRA'!H$1&amp;", ","")&amp;
IF(INDEX('ETAPA OBRA'!I:I,MATCH($B138,'ETAPA OBRA'!$B:$B,0))="x",'ETAPA OBRA'!I$1&amp;", ","")&amp;
IF(INDEX('ETAPA OBRA'!J:J,MATCH($B138,'ETAPA OBRA'!$B:$B,0))="x",'ETAPA OBRA'!J$1&amp;", ","")&amp;
IF(INDEX('ETAPA OBRA'!K:K,MATCH($B138,'ETAPA OBRA'!$B:$B,0))="x",'ETAPA OBRA'!K$1&amp;", ","")&amp;
IF(INDEX('ETAPA OBRA'!L:L,MATCH($B138,'ETAPA OBRA'!$B:$B,0))="x",'ETAPA OBRA'!L$1&amp;", ","")&amp;
IF(INDEX('ETAPA OBRA'!M:M,MATCH($B138,'ETAPA OBRA'!$B:$B,0))="x",'ETAPA OBRA'!M$1&amp;", ","")&amp;
IF(INDEX('ETAPA OBRA'!N:N,MATCH($B138,'ETAPA OBRA'!$B:$B,0))="x",'ETAPA OBRA'!N$1&amp;", ","")&amp;
IF(INDEX('ETAPA OBRA'!O:O,MATCH($B138,'ETAPA OBRA'!$B:$B,0))="x",'ETAPA OBRA'!O$1&amp;", ","")&amp;
IF(INDEX('ETAPA OBRA'!P:P,MATCH($B138,'ETAPA OBRA'!$B:$B,0))="x",'ETAPA OBRA'!P$1&amp;", ","")&amp;
IF(INDEX('ETAPA OBRA'!Q:Q,MATCH($B138,'ETAPA OBRA'!$B:$B,0))="x",'ETAPA OBRA'!Q$1&amp;", ","")&amp;
IF(INDEX('ETAPA OBRA'!R:R,MATCH($B138,'ETAPA OBRA'!$B:$B,0))="x",'ETAPA OBRA'!R$1&amp;", ","")&amp;
IF(INDEX('ETAPA OBRA'!S:S,MATCH($B138,'ETAPA OBRA'!$B:$B,0))="x",'ETAPA OBRA'!S$1&amp;", ","")&amp;
IF(INDEX('ETAPA OBRA'!T:T,MATCH($B138,'ETAPA OBRA'!$B:$B,0))="x",'ETAPA OBRA'!T$1&amp;", ","")&amp;
IF(INDEX('ETAPA OBRA'!U:U,MATCH($B138,'ETAPA OBRA'!$B:$B,0))="x",'ETAPA OBRA'!U$1&amp;", ",""),LEN(
IF(INDEX('ETAPA OBRA'!C:C,MATCH($B138,'ETAPA OBRA'!$B:$B,0))="x",'ETAPA OBRA'!C$1&amp;", ","")&amp;
IF(INDEX('ETAPA OBRA'!D:D,MATCH($B138,'ETAPA OBRA'!$B:$B,0))="x",'ETAPA OBRA'!D$1&amp;", ","")&amp;
IF(INDEX('ETAPA OBRA'!F:F,MATCH($B138,'ETAPA OBRA'!$B:$B,0))="x",'ETAPA OBRA'!F$1&amp;", ","")&amp;
IF(INDEX('ETAPA OBRA'!G:G,MATCH($B138,'ETAPA OBRA'!$B:$B,0))="x",'ETAPA OBRA'!G$1&amp;", ","")&amp;
IF(INDEX('ETAPA OBRA'!H:H,MATCH($B138,'ETAPA OBRA'!$B:$B,0))="x",'ETAPA OBRA'!H$1&amp;", ","")&amp;
IF(INDEX('ETAPA OBRA'!I:I,MATCH($B138,'ETAPA OBRA'!$B:$B,0))="x",'ETAPA OBRA'!I$1&amp;", ","")&amp;
IF(INDEX('ETAPA OBRA'!J:J,MATCH($B138,'ETAPA OBRA'!$B:$B,0))="x",'ETAPA OBRA'!J$1&amp;", ","")&amp;
IF(INDEX('ETAPA OBRA'!K:K,MATCH($B138,'ETAPA OBRA'!$B:$B,0))="x",'ETAPA OBRA'!K$1&amp;", ","")&amp;
IF(INDEX('ETAPA OBRA'!L:L,MATCH($B138,'ETAPA OBRA'!$B:$B,0))="x",'ETAPA OBRA'!L$1&amp;", ","")&amp;
IF(INDEX('ETAPA OBRA'!M:M,MATCH($B138,'ETAPA OBRA'!$B:$B,0))="x",'ETAPA OBRA'!M$1&amp;", ","")&amp;
IF(INDEX('ETAPA OBRA'!N:N,MATCH($B138,'ETAPA OBRA'!$B:$B,0))="x",'ETAPA OBRA'!N$1&amp;", ","")&amp;
IF(INDEX('ETAPA OBRA'!O:O,MATCH($B138,'ETAPA OBRA'!$B:$B,0))="x",'ETAPA OBRA'!O$1&amp;", ","")&amp;
IF(INDEX('ETAPA OBRA'!P:P,MATCH($B138,'ETAPA OBRA'!$B:$B,0))="x",'ETAPA OBRA'!P$1&amp;", ","")&amp;
IF(INDEX('ETAPA OBRA'!Q:Q,MATCH($B138,'ETAPA OBRA'!$B:$B,0))="x",'ETAPA OBRA'!Q$1&amp;", ","")&amp;
IF(INDEX('ETAPA OBRA'!R:R,MATCH($B138,'ETAPA OBRA'!$B:$B,0))="x",'ETAPA OBRA'!R$1&amp;", ","")&amp;
IF(INDEX('ETAPA OBRA'!S:S,MATCH($B138,'ETAPA OBRA'!$B:$B,0))="x",'ETAPA OBRA'!S$1&amp;", ","")&amp;
IF(INDEX('ETAPA OBRA'!T:T,MATCH($B138,'ETAPA OBRA'!$B:$B,0))="x",'ETAPA OBRA'!T$1&amp;", ","")&amp;
IF(INDEX('ETAPA OBRA'!U:U,MATCH($B138,'ETAPA OBRA'!$B:$B,0))="x",'ETAPA OBRA'!U$1&amp;", ","")
)-2),"")</f>
        <v>Execução</v>
      </c>
      <c r="N138" s="23" t="str">
        <f t="shared" ca="1" si="18"/>
        <v>Em andamento</v>
      </c>
      <c r="O138" s="28">
        <v>9477.24</v>
      </c>
      <c r="P138" s="37">
        <f t="shared" si="19"/>
        <v>3514.02</v>
      </c>
      <c r="Q138" s="28">
        <f t="shared" si="20"/>
        <v>5963.2199999999993</v>
      </c>
      <c r="R138" s="29">
        <f t="shared" si="21"/>
        <v>0.62921483469870965</v>
      </c>
      <c r="S138" s="23" t="str">
        <f t="shared" si="22"/>
        <v>✅ OK - Fechar Parceiro</v>
      </c>
      <c r="T138" s="23" t="str">
        <f ca="1">Cronograma[[#This Row],[STATUS]]</f>
        <v>🕓 EM ANDAMENTO</v>
      </c>
    </row>
    <row r="139" spans="1:20" ht="15" customHeight="1" x14ac:dyDescent="0.3">
      <c r="A139" s="23" t="s">
        <v>427</v>
      </c>
      <c r="B139" s="23" t="str">
        <f>IF(A139&lt;&gt;"","contel-"&amp;TEXT(COUNTA($A$2:A139),"00"),"")</f>
        <v>contel-138</v>
      </c>
      <c r="C139" s="23" t="s">
        <v>428</v>
      </c>
      <c r="D139" s="23" t="s">
        <v>429</v>
      </c>
      <c r="E139" s="23" t="s">
        <v>32</v>
      </c>
      <c r="F139" s="52" t="s">
        <v>430</v>
      </c>
      <c r="G139" s="23">
        <v>1937</v>
      </c>
      <c r="H139" s="30">
        <v>27851</v>
      </c>
      <c r="I139" s="23" t="s">
        <v>34</v>
      </c>
      <c r="J139" s="25">
        <f>SUM(EQUIPE!C139,EQUIPE!E139,EQUIPE!G139,EQUIPE!I139,EQUIPE!K139,EQUIPE!M139,EQUIPE!O139)</f>
        <v>10000</v>
      </c>
      <c r="K139" s="25">
        <v>0</v>
      </c>
      <c r="L139" s="25">
        <v>0</v>
      </c>
      <c r="M139" s="27" t="str">
        <f ca="1">IFERROR(LEFT(
IF(INDEX('ETAPA OBRA'!C:C,MATCH($B139,'ETAPA OBRA'!$B:$B,0))="x",'ETAPA OBRA'!C$1&amp;", ","")&amp;
IF(INDEX('ETAPA OBRA'!D:D,MATCH($B139,'ETAPA OBRA'!$B:$B,0))="x",'ETAPA OBRA'!D$1&amp;", ","")&amp;
IF(INDEX('ETAPA OBRA'!F:F,MATCH($B139,'ETAPA OBRA'!$B:$B,0))="x",'ETAPA OBRA'!F$1&amp;", ","")&amp;
IF(INDEX('ETAPA OBRA'!G:G,MATCH($B139,'ETAPA OBRA'!$B:$B,0))="x",'ETAPA OBRA'!G$1&amp;", ","")&amp;
IF(INDEX('ETAPA OBRA'!H:H,MATCH($B139,'ETAPA OBRA'!$B:$B,0))="x",'ETAPA OBRA'!H$1&amp;", ","")&amp;
IF(INDEX('ETAPA OBRA'!I:I,MATCH($B139,'ETAPA OBRA'!$B:$B,0))="x",'ETAPA OBRA'!I$1&amp;", ","")&amp;
IF(INDEX('ETAPA OBRA'!J:J,MATCH($B139,'ETAPA OBRA'!$B:$B,0))="x",'ETAPA OBRA'!J$1&amp;", ","")&amp;
IF(INDEX('ETAPA OBRA'!K:K,MATCH($B139,'ETAPA OBRA'!$B:$B,0))="x",'ETAPA OBRA'!K$1&amp;", ","")&amp;
IF(INDEX('ETAPA OBRA'!L:L,MATCH($B139,'ETAPA OBRA'!$B:$B,0))="x",'ETAPA OBRA'!L$1&amp;", ","")&amp;
IF(INDEX('ETAPA OBRA'!M:M,MATCH($B139,'ETAPA OBRA'!$B:$B,0))="x",'ETAPA OBRA'!M$1&amp;", ","")&amp;
IF(INDEX('ETAPA OBRA'!N:N,MATCH($B139,'ETAPA OBRA'!$B:$B,0))="x",'ETAPA OBRA'!N$1&amp;", ","")&amp;
IF(INDEX('ETAPA OBRA'!O:O,MATCH($B139,'ETAPA OBRA'!$B:$B,0))="x",'ETAPA OBRA'!O$1&amp;", ","")&amp;
IF(INDEX('ETAPA OBRA'!P:P,MATCH($B139,'ETAPA OBRA'!$B:$B,0))="x",'ETAPA OBRA'!P$1&amp;", ","")&amp;
IF(INDEX('ETAPA OBRA'!Q:Q,MATCH($B139,'ETAPA OBRA'!$B:$B,0))="x",'ETAPA OBRA'!Q$1&amp;", ","")&amp;
IF(INDEX('ETAPA OBRA'!R:R,MATCH($B139,'ETAPA OBRA'!$B:$B,0))="x",'ETAPA OBRA'!R$1&amp;", ","")&amp;
IF(INDEX('ETAPA OBRA'!S:S,MATCH($B139,'ETAPA OBRA'!$B:$B,0))="x",'ETAPA OBRA'!S$1&amp;", ","")&amp;
IF(INDEX('ETAPA OBRA'!T:T,MATCH($B139,'ETAPA OBRA'!$B:$B,0))="x",'ETAPA OBRA'!T$1&amp;", ","")&amp;
IF(INDEX('ETAPA OBRA'!U:U,MATCH($B139,'ETAPA OBRA'!$B:$B,0))="x",'ETAPA OBRA'!U$1&amp;", ",""),LEN(
IF(INDEX('ETAPA OBRA'!C:C,MATCH($B139,'ETAPA OBRA'!$B:$B,0))="x",'ETAPA OBRA'!C$1&amp;", ","")&amp;
IF(INDEX('ETAPA OBRA'!D:D,MATCH($B139,'ETAPA OBRA'!$B:$B,0))="x",'ETAPA OBRA'!D$1&amp;", ","")&amp;
IF(INDEX('ETAPA OBRA'!F:F,MATCH($B139,'ETAPA OBRA'!$B:$B,0))="x",'ETAPA OBRA'!F$1&amp;", ","")&amp;
IF(INDEX('ETAPA OBRA'!G:G,MATCH($B139,'ETAPA OBRA'!$B:$B,0))="x",'ETAPA OBRA'!G$1&amp;", ","")&amp;
IF(INDEX('ETAPA OBRA'!H:H,MATCH($B139,'ETAPA OBRA'!$B:$B,0))="x",'ETAPA OBRA'!H$1&amp;", ","")&amp;
IF(INDEX('ETAPA OBRA'!I:I,MATCH($B139,'ETAPA OBRA'!$B:$B,0))="x",'ETAPA OBRA'!I$1&amp;", ","")&amp;
IF(INDEX('ETAPA OBRA'!J:J,MATCH($B139,'ETAPA OBRA'!$B:$B,0))="x",'ETAPA OBRA'!J$1&amp;", ","")&amp;
IF(INDEX('ETAPA OBRA'!K:K,MATCH($B139,'ETAPA OBRA'!$B:$B,0))="x",'ETAPA OBRA'!K$1&amp;", ","")&amp;
IF(INDEX('ETAPA OBRA'!L:L,MATCH($B139,'ETAPA OBRA'!$B:$B,0))="x",'ETAPA OBRA'!L$1&amp;", ","")&amp;
IF(INDEX('ETAPA OBRA'!M:M,MATCH($B139,'ETAPA OBRA'!$B:$B,0))="x",'ETAPA OBRA'!M$1&amp;", ","")&amp;
IF(INDEX('ETAPA OBRA'!N:N,MATCH($B139,'ETAPA OBRA'!$B:$B,0))="x",'ETAPA OBRA'!N$1&amp;", ","")&amp;
IF(INDEX('ETAPA OBRA'!O:O,MATCH($B139,'ETAPA OBRA'!$B:$B,0))="x",'ETAPA OBRA'!O$1&amp;", ","")&amp;
IF(INDEX('ETAPA OBRA'!P:P,MATCH($B139,'ETAPA OBRA'!$B:$B,0))="x",'ETAPA OBRA'!P$1&amp;", ","")&amp;
IF(INDEX('ETAPA OBRA'!Q:Q,MATCH($B139,'ETAPA OBRA'!$B:$B,0))="x",'ETAPA OBRA'!Q$1&amp;", ","")&amp;
IF(INDEX('ETAPA OBRA'!R:R,MATCH($B139,'ETAPA OBRA'!$B:$B,0))="x",'ETAPA OBRA'!R$1&amp;", ","")&amp;
IF(INDEX('ETAPA OBRA'!S:S,MATCH($B139,'ETAPA OBRA'!$B:$B,0))="x",'ETAPA OBRA'!S$1&amp;", ","")&amp;
IF(INDEX('ETAPA OBRA'!T:T,MATCH($B139,'ETAPA OBRA'!$B:$B,0))="x",'ETAPA OBRA'!T$1&amp;", ","")&amp;
IF(INDEX('ETAPA OBRA'!U:U,MATCH($B139,'ETAPA OBRA'!$B:$B,0))="x",'ETAPA OBRA'!U$1&amp;", ","")
)-2),"")</f>
        <v>Execução</v>
      </c>
      <c r="N139" s="23" t="str">
        <f t="shared" ca="1" si="18"/>
        <v>Em andamento</v>
      </c>
      <c r="O139" s="28">
        <v>17787</v>
      </c>
      <c r="P139" s="37">
        <f t="shared" si="19"/>
        <v>10000</v>
      </c>
      <c r="Q139" s="28">
        <f t="shared" si="20"/>
        <v>7787</v>
      </c>
      <c r="R139" s="29">
        <f t="shared" si="21"/>
        <v>0.43779164558385336</v>
      </c>
      <c r="S139" s="23" t="str">
        <f t="shared" si="22"/>
        <v>✅ OK - Fechar Parceiro</v>
      </c>
      <c r="T139" s="23" t="str">
        <f ca="1">Cronograma[[#This Row],[STATUS]]</f>
        <v>🕓 EM ANDAMENTO</v>
      </c>
    </row>
    <row r="140" spans="1:20" ht="15" customHeight="1" x14ac:dyDescent="0.3">
      <c r="A140" s="23" t="s">
        <v>431</v>
      </c>
      <c r="B140" s="23" t="str">
        <f>IF(A140&lt;&gt;"","contel-"&amp;TEXT(COUNTA($A$2:A140),"00"),"")</f>
        <v>contel-139</v>
      </c>
      <c r="C140" s="23" t="s">
        <v>428</v>
      </c>
      <c r="D140" s="23" t="s">
        <v>432</v>
      </c>
      <c r="E140" s="23" t="s">
        <v>88</v>
      </c>
      <c r="F140" s="52" t="s">
        <v>433</v>
      </c>
      <c r="G140" s="23">
        <v>1934</v>
      </c>
      <c r="H140" s="30">
        <v>27846</v>
      </c>
      <c r="I140" s="23" t="s">
        <v>34</v>
      </c>
      <c r="J140" s="25">
        <f>SUM(EQUIPE!C140,EQUIPE!E140,EQUIPE!G140,EQUIPE!I140,EQUIPE!K140,EQUIPE!M140,EQUIPE!O140)</f>
        <v>12900</v>
      </c>
      <c r="K140" s="25">
        <v>0</v>
      </c>
      <c r="L140" s="25">
        <v>0</v>
      </c>
      <c r="M140" s="27" t="str">
        <f ca="1">IFERROR(LEFT(
IF(INDEX('ETAPA OBRA'!C:C,MATCH($B140,'ETAPA OBRA'!$B:$B,0))="x",'ETAPA OBRA'!C$1&amp;", ","")&amp;
IF(INDEX('ETAPA OBRA'!D:D,MATCH($B140,'ETAPA OBRA'!$B:$B,0))="x",'ETAPA OBRA'!D$1&amp;", ","")&amp;
IF(INDEX('ETAPA OBRA'!F:F,MATCH($B140,'ETAPA OBRA'!$B:$B,0))="x",'ETAPA OBRA'!F$1&amp;", ","")&amp;
IF(INDEX('ETAPA OBRA'!G:G,MATCH($B140,'ETAPA OBRA'!$B:$B,0))="x",'ETAPA OBRA'!G$1&amp;", ","")&amp;
IF(INDEX('ETAPA OBRA'!H:H,MATCH($B140,'ETAPA OBRA'!$B:$B,0))="x",'ETAPA OBRA'!H$1&amp;", ","")&amp;
IF(INDEX('ETAPA OBRA'!I:I,MATCH($B140,'ETAPA OBRA'!$B:$B,0))="x",'ETAPA OBRA'!I$1&amp;", ","")&amp;
IF(INDEX('ETAPA OBRA'!J:J,MATCH($B140,'ETAPA OBRA'!$B:$B,0))="x",'ETAPA OBRA'!J$1&amp;", ","")&amp;
IF(INDEX('ETAPA OBRA'!K:K,MATCH($B140,'ETAPA OBRA'!$B:$B,0))="x",'ETAPA OBRA'!K$1&amp;", ","")&amp;
IF(INDEX('ETAPA OBRA'!L:L,MATCH($B140,'ETAPA OBRA'!$B:$B,0))="x",'ETAPA OBRA'!L$1&amp;", ","")&amp;
IF(INDEX('ETAPA OBRA'!M:M,MATCH($B140,'ETAPA OBRA'!$B:$B,0))="x",'ETAPA OBRA'!M$1&amp;", ","")&amp;
IF(INDEX('ETAPA OBRA'!N:N,MATCH($B140,'ETAPA OBRA'!$B:$B,0))="x",'ETAPA OBRA'!N$1&amp;", ","")&amp;
IF(INDEX('ETAPA OBRA'!O:O,MATCH($B140,'ETAPA OBRA'!$B:$B,0))="x",'ETAPA OBRA'!O$1&amp;", ","")&amp;
IF(INDEX('ETAPA OBRA'!P:P,MATCH($B140,'ETAPA OBRA'!$B:$B,0))="x",'ETAPA OBRA'!P$1&amp;", ","")&amp;
IF(INDEX('ETAPA OBRA'!Q:Q,MATCH($B140,'ETAPA OBRA'!$B:$B,0))="x",'ETAPA OBRA'!Q$1&amp;", ","")&amp;
IF(INDEX('ETAPA OBRA'!R:R,MATCH($B140,'ETAPA OBRA'!$B:$B,0))="x",'ETAPA OBRA'!R$1&amp;", ","")&amp;
IF(INDEX('ETAPA OBRA'!S:S,MATCH($B140,'ETAPA OBRA'!$B:$B,0))="x",'ETAPA OBRA'!S$1&amp;", ","")&amp;
IF(INDEX('ETAPA OBRA'!T:T,MATCH($B140,'ETAPA OBRA'!$B:$B,0))="x",'ETAPA OBRA'!T$1&amp;", ","")&amp;
IF(INDEX('ETAPA OBRA'!U:U,MATCH($B140,'ETAPA OBRA'!$B:$B,0))="x",'ETAPA OBRA'!U$1&amp;", ",""),LEN(
IF(INDEX('ETAPA OBRA'!C:C,MATCH($B140,'ETAPA OBRA'!$B:$B,0))="x",'ETAPA OBRA'!C$1&amp;", ","")&amp;
IF(INDEX('ETAPA OBRA'!D:D,MATCH($B140,'ETAPA OBRA'!$B:$B,0))="x",'ETAPA OBRA'!D$1&amp;", ","")&amp;
IF(INDEX('ETAPA OBRA'!F:F,MATCH($B140,'ETAPA OBRA'!$B:$B,0))="x",'ETAPA OBRA'!F$1&amp;", ","")&amp;
IF(INDEX('ETAPA OBRA'!G:G,MATCH($B140,'ETAPA OBRA'!$B:$B,0))="x",'ETAPA OBRA'!G$1&amp;", ","")&amp;
IF(INDEX('ETAPA OBRA'!H:H,MATCH($B140,'ETAPA OBRA'!$B:$B,0))="x",'ETAPA OBRA'!H$1&amp;", ","")&amp;
IF(INDEX('ETAPA OBRA'!I:I,MATCH($B140,'ETAPA OBRA'!$B:$B,0))="x",'ETAPA OBRA'!I$1&amp;", ","")&amp;
IF(INDEX('ETAPA OBRA'!J:J,MATCH($B140,'ETAPA OBRA'!$B:$B,0))="x",'ETAPA OBRA'!J$1&amp;", ","")&amp;
IF(INDEX('ETAPA OBRA'!K:K,MATCH($B140,'ETAPA OBRA'!$B:$B,0))="x",'ETAPA OBRA'!K$1&amp;", ","")&amp;
IF(INDEX('ETAPA OBRA'!L:L,MATCH($B140,'ETAPA OBRA'!$B:$B,0))="x",'ETAPA OBRA'!L$1&amp;", ","")&amp;
IF(INDEX('ETAPA OBRA'!M:M,MATCH($B140,'ETAPA OBRA'!$B:$B,0))="x",'ETAPA OBRA'!M$1&amp;", ","")&amp;
IF(INDEX('ETAPA OBRA'!N:N,MATCH($B140,'ETAPA OBRA'!$B:$B,0))="x",'ETAPA OBRA'!N$1&amp;", ","")&amp;
IF(INDEX('ETAPA OBRA'!O:O,MATCH($B140,'ETAPA OBRA'!$B:$B,0))="x",'ETAPA OBRA'!O$1&amp;", ","")&amp;
IF(INDEX('ETAPA OBRA'!P:P,MATCH($B140,'ETAPA OBRA'!$B:$B,0))="x",'ETAPA OBRA'!P$1&amp;", ","")&amp;
IF(INDEX('ETAPA OBRA'!Q:Q,MATCH($B140,'ETAPA OBRA'!$B:$B,0))="x",'ETAPA OBRA'!Q$1&amp;", ","")&amp;
IF(INDEX('ETAPA OBRA'!R:R,MATCH($B140,'ETAPA OBRA'!$B:$B,0))="x",'ETAPA OBRA'!R$1&amp;", ","")&amp;
IF(INDEX('ETAPA OBRA'!S:S,MATCH($B140,'ETAPA OBRA'!$B:$B,0))="x",'ETAPA OBRA'!S$1&amp;", ","")&amp;
IF(INDEX('ETAPA OBRA'!T:T,MATCH($B140,'ETAPA OBRA'!$B:$B,0))="x",'ETAPA OBRA'!T$1&amp;", ","")&amp;
IF(INDEX('ETAPA OBRA'!U:U,MATCH($B140,'ETAPA OBRA'!$B:$B,0))="x",'ETAPA OBRA'!U$1&amp;", ","")
)-2),"")</f>
        <v>Execução</v>
      </c>
      <c r="N140" s="23" t="str">
        <f t="shared" ca="1" si="18"/>
        <v>Em andamento</v>
      </c>
      <c r="O140" s="28">
        <v>23885</v>
      </c>
      <c r="P140" s="37">
        <f t="shared" si="19"/>
        <v>12900</v>
      </c>
      <c r="Q140" s="28">
        <f t="shared" si="20"/>
        <v>10985</v>
      </c>
      <c r="R140" s="29">
        <f t="shared" si="21"/>
        <v>0.45991207871048773</v>
      </c>
      <c r="S140" s="23" t="str">
        <f t="shared" si="22"/>
        <v>✅ OK - Fechar Parceiro</v>
      </c>
      <c r="T140" s="23" t="str">
        <f ca="1">Cronograma[[#This Row],[STATUS]]</f>
        <v>🕓 EM ANDAMENTO</v>
      </c>
    </row>
    <row r="141" spans="1:20" ht="15" customHeight="1" x14ac:dyDescent="0.3">
      <c r="A141" s="23" t="s">
        <v>434</v>
      </c>
      <c r="B141" s="23" t="str">
        <f>IF(A141&lt;&gt;"","contel-"&amp;TEXT(COUNTA($A$2:A141),"00"),"")</f>
        <v>contel-140</v>
      </c>
      <c r="C141" s="23" t="s">
        <v>428</v>
      </c>
      <c r="D141" s="23" t="s">
        <v>435</v>
      </c>
      <c r="E141" s="23" t="s">
        <v>309</v>
      </c>
      <c r="F141" s="52" t="s">
        <v>436</v>
      </c>
      <c r="G141" s="23">
        <v>1935</v>
      </c>
      <c r="H141" s="30">
        <v>27848</v>
      </c>
      <c r="I141" s="23" t="s">
        <v>34</v>
      </c>
      <c r="J141" s="25">
        <f>SUM(EQUIPE!C141,EQUIPE!E141,EQUIPE!G141,EQUIPE!I141,EQUIPE!K141,EQUIPE!M141,EQUIPE!O141)</f>
        <v>9000</v>
      </c>
      <c r="K141" s="25">
        <v>0</v>
      </c>
      <c r="L141" s="25">
        <v>0</v>
      </c>
      <c r="M141" s="27" t="str">
        <f ca="1">IFERROR(LEFT(
IF(INDEX('ETAPA OBRA'!C:C,MATCH($B141,'ETAPA OBRA'!$B:$B,0))="x",'ETAPA OBRA'!C$1&amp;", ","")&amp;
IF(INDEX('ETAPA OBRA'!D:D,MATCH($B141,'ETAPA OBRA'!$B:$B,0))="x",'ETAPA OBRA'!D$1&amp;", ","")&amp;
IF(INDEX('ETAPA OBRA'!F:F,MATCH($B141,'ETAPA OBRA'!$B:$B,0))="x",'ETAPA OBRA'!F$1&amp;", ","")&amp;
IF(INDEX('ETAPA OBRA'!G:G,MATCH($B141,'ETAPA OBRA'!$B:$B,0))="x",'ETAPA OBRA'!G$1&amp;", ","")&amp;
IF(INDEX('ETAPA OBRA'!H:H,MATCH($B141,'ETAPA OBRA'!$B:$B,0))="x",'ETAPA OBRA'!H$1&amp;", ","")&amp;
IF(INDEX('ETAPA OBRA'!I:I,MATCH($B141,'ETAPA OBRA'!$B:$B,0))="x",'ETAPA OBRA'!I$1&amp;", ","")&amp;
IF(INDEX('ETAPA OBRA'!J:J,MATCH($B141,'ETAPA OBRA'!$B:$B,0))="x",'ETAPA OBRA'!J$1&amp;", ","")&amp;
IF(INDEX('ETAPA OBRA'!K:K,MATCH($B141,'ETAPA OBRA'!$B:$B,0))="x",'ETAPA OBRA'!K$1&amp;", ","")&amp;
IF(INDEX('ETAPA OBRA'!L:L,MATCH($B141,'ETAPA OBRA'!$B:$B,0))="x",'ETAPA OBRA'!L$1&amp;", ","")&amp;
IF(INDEX('ETAPA OBRA'!M:M,MATCH($B141,'ETAPA OBRA'!$B:$B,0))="x",'ETAPA OBRA'!M$1&amp;", ","")&amp;
IF(INDEX('ETAPA OBRA'!N:N,MATCH($B141,'ETAPA OBRA'!$B:$B,0))="x",'ETAPA OBRA'!N$1&amp;", ","")&amp;
IF(INDEX('ETAPA OBRA'!O:O,MATCH($B141,'ETAPA OBRA'!$B:$B,0))="x",'ETAPA OBRA'!O$1&amp;", ","")&amp;
IF(INDEX('ETAPA OBRA'!P:P,MATCH($B141,'ETAPA OBRA'!$B:$B,0))="x",'ETAPA OBRA'!P$1&amp;", ","")&amp;
IF(INDEX('ETAPA OBRA'!Q:Q,MATCH($B141,'ETAPA OBRA'!$B:$B,0))="x",'ETAPA OBRA'!Q$1&amp;", ","")&amp;
IF(INDEX('ETAPA OBRA'!R:R,MATCH($B141,'ETAPA OBRA'!$B:$B,0))="x",'ETAPA OBRA'!R$1&amp;", ","")&amp;
IF(INDEX('ETAPA OBRA'!S:S,MATCH($B141,'ETAPA OBRA'!$B:$B,0))="x",'ETAPA OBRA'!S$1&amp;", ","")&amp;
IF(INDEX('ETAPA OBRA'!T:T,MATCH($B141,'ETAPA OBRA'!$B:$B,0))="x",'ETAPA OBRA'!T$1&amp;", ","")&amp;
IF(INDEX('ETAPA OBRA'!U:U,MATCH($B141,'ETAPA OBRA'!$B:$B,0))="x",'ETAPA OBRA'!U$1&amp;", ",""),LEN(
IF(INDEX('ETAPA OBRA'!C:C,MATCH($B141,'ETAPA OBRA'!$B:$B,0))="x",'ETAPA OBRA'!C$1&amp;", ","")&amp;
IF(INDEX('ETAPA OBRA'!D:D,MATCH($B141,'ETAPA OBRA'!$B:$B,0))="x",'ETAPA OBRA'!D$1&amp;", ","")&amp;
IF(INDEX('ETAPA OBRA'!F:F,MATCH($B141,'ETAPA OBRA'!$B:$B,0))="x",'ETAPA OBRA'!F$1&amp;", ","")&amp;
IF(INDEX('ETAPA OBRA'!G:G,MATCH($B141,'ETAPA OBRA'!$B:$B,0))="x",'ETAPA OBRA'!G$1&amp;", ","")&amp;
IF(INDEX('ETAPA OBRA'!H:H,MATCH($B141,'ETAPA OBRA'!$B:$B,0))="x",'ETAPA OBRA'!H$1&amp;", ","")&amp;
IF(INDEX('ETAPA OBRA'!I:I,MATCH($B141,'ETAPA OBRA'!$B:$B,0))="x",'ETAPA OBRA'!I$1&amp;", ","")&amp;
IF(INDEX('ETAPA OBRA'!J:J,MATCH($B141,'ETAPA OBRA'!$B:$B,0))="x",'ETAPA OBRA'!J$1&amp;", ","")&amp;
IF(INDEX('ETAPA OBRA'!K:K,MATCH($B141,'ETAPA OBRA'!$B:$B,0))="x",'ETAPA OBRA'!K$1&amp;", ","")&amp;
IF(INDEX('ETAPA OBRA'!L:L,MATCH($B141,'ETAPA OBRA'!$B:$B,0))="x",'ETAPA OBRA'!L$1&amp;", ","")&amp;
IF(INDEX('ETAPA OBRA'!M:M,MATCH($B141,'ETAPA OBRA'!$B:$B,0))="x",'ETAPA OBRA'!M$1&amp;", ","")&amp;
IF(INDEX('ETAPA OBRA'!N:N,MATCH($B141,'ETAPA OBRA'!$B:$B,0))="x",'ETAPA OBRA'!N$1&amp;", ","")&amp;
IF(INDEX('ETAPA OBRA'!O:O,MATCH($B141,'ETAPA OBRA'!$B:$B,0))="x",'ETAPA OBRA'!O$1&amp;", ","")&amp;
IF(INDEX('ETAPA OBRA'!P:P,MATCH($B141,'ETAPA OBRA'!$B:$B,0))="x",'ETAPA OBRA'!P$1&amp;", ","")&amp;
IF(INDEX('ETAPA OBRA'!Q:Q,MATCH($B141,'ETAPA OBRA'!$B:$B,0))="x",'ETAPA OBRA'!Q$1&amp;", ","")&amp;
IF(INDEX('ETAPA OBRA'!R:R,MATCH($B141,'ETAPA OBRA'!$B:$B,0))="x",'ETAPA OBRA'!R$1&amp;", ","")&amp;
IF(INDEX('ETAPA OBRA'!S:S,MATCH($B141,'ETAPA OBRA'!$B:$B,0))="x",'ETAPA OBRA'!S$1&amp;", ","")&amp;
IF(INDEX('ETAPA OBRA'!T:T,MATCH($B141,'ETAPA OBRA'!$B:$B,0))="x",'ETAPA OBRA'!T$1&amp;", ","")&amp;
IF(INDEX('ETAPA OBRA'!U:U,MATCH($B141,'ETAPA OBRA'!$B:$B,0))="x",'ETAPA OBRA'!U$1&amp;", ","")
)-2),"")</f>
        <v>Execução</v>
      </c>
      <c r="N141" s="23" t="str">
        <f t="shared" ca="1" si="18"/>
        <v>Em andamento</v>
      </c>
      <c r="O141" s="28">
        <v>16761</v>
      </c>
      <c r="P141" s="37">
        <f t="shared" si="19"/>
        <v>9000</v>
      </c>
      <c r="Q141" s="28">
        <f t="shared" si="20"/>
        <v>7761</v>
      </c>
      <c r="R141" s="29">
        <f t="shared" si="21"/>
        <v>0.46303919813853589</v>
      </c>
      <c r="S141" s="23" t="str">
        <f t="shared" si="22"/>
        <v>✅ OK - Fechar Parceiro</v>
      </c>
      <c r="T141" s="23" t="str">
        <f ca="1">Cronograma[[#This Row],[STATUS]]</f>
        <v>🕓 EM ANDAMENTO</v>
      </c>
    </row>
    <row r="142" spans="1:20" ht="15" customHeight="1" x14ac:dyDescent="0.3">
      <c r="A142" s="23" t="s">
        <v>437</v>
      </c>
      <c r="B142" s="23" t="str">
        <f>IF(A142&lt;&gt;"","contel-"&amp;TEXT(COUNTA($A$2:A142),"00"),"")</f>
        <v>contel-141</v>
      </c>
      <c r="C142" s="23" t="s">
        <v>428</v>
      </c>
      <c r="D142" s="23" t="s">
        <v>438</v>
      </c>
      <c r="E142" s="23" t="s">
        <v>37</v>
      </c>
      <c r="F142" s="52" t="s">
        <v>439</v>
      </c>
      <c r="G142" s="23">
        <v>1936</v>
      </c>
      <c r="H142" s="30">
        <v>27850</v>
      </c>
      <c r="I142" s="23" t="s">
        <v>34</v>
      </c>
      <c r="J142" s="25">
        <f>SUM(EQUIPE!C142,EQUIPE!E142,EQUIPE!G142,EQUIPE!I142,EQUIPE!K142,EQUIPE!M142,EQUIPE!O142)</f>
        <v>11200</v>
      </c>
      <c r="K142" s="25">
        <v>0</v>
      </c>
      <c r="L142" s="25">
        <v>0</v>
      </c>
      <c r="M142" s="27" t="str">
        <f ca="1">IFERROR(LEFT(
IF(INDEX('ETAPA OBRA'!C:C,MATCH($B142,'ETAPA OBRA'!$B:$B,0))="x",'ETAPA OBRA'!C$1&amp;", ","")&amp;
IF(INDEX('ETAPA OBRA'!D:D,MATCH($B142,'ETAPA OBRA'!$B:$B,0))="x",'ETAPA OBRA'!D$1&amp;", ","")&amp;
IF(INDEX('ETAPA OBRA'!F:F,MATCH($B142,'ETAPA OBRA'!$B:$B,0))="x",'ETAPA OBRA'!F$1&amp;", ","")&amp;
IF(INDEX('ETAPA OBRA'!G:G,MATCH($B142,'ETAPA OBRA'!$B:$B,0))="x",'ETAPA OBRA'!G$1&amp;", ","")&amp;
IF(INDEX('ETAPA OBRA'!H:H,MATCH($B142,'ETAPA OBRA'!$B:$B,0))="x",'ETAPA OBRA'!H$1&amp;", ","")&amp;
IF(INDEX('ETAPA OBRA'!I:I,MATCH($B142,'ETAPA OBRA'!$B:$B,0))="x",'ETAPA OBRA'!I$1&amp;", ","")&amp;
IF(INDEX('ETAPA OBRA'!J:J,MATCH($B142,'ETAPA OBRA'!$B:$B,0))="x",'ETAPA OBRA'!J$1&amp;", ","")&amp;
IF(INDEX('ETAPA OBRA'!K:K,MATCH($B142,'ETAPA OBRA'!$B:$B,0))="x",'ETAPA OBRA'!K$1&amp;", ","")&amp;
IF(INDEX('ETAPA OBRA'!L:L,MATCH($B142,'ETAPA OBRA'!$B:$B,0))="x",'ETAPA OBRA'!L$1&amp;", ","")&amp;
IF(INDEX('ETAPA OBRA'!M:M,MATCH($B142,'ETAPA OBRA'!$B:$B,0))="x",'ETAPA OBRA'!M$1&amp;", ","")&amp;
IF(INDEX('ETAPA OBRA'!N:N,MATCH($B142,'ETAPA OBRA'!$B:$B,0))="x",'ETAPA OBRA'!N$1&amp;", ","")&amp;
IF(INDEX('ETAPA OBRA'!O:O,MATCH($B142,'ETAPA OBRA'!$B:$B,0))="x",'ETAPA OBRA'!O$1&amp;", ","")&amp;
IF(INDEX('ETAPA OBRA'!P:P,MATCH($B142,'ETAPA OBRA'!$B:$B,0))="x",'ETAPA OBRA'!P$1&amp;", ","")&amp;
IF(INDEX('ETAPA OBRA'!Q:Q,MATCH($B142,'ETAPA OBRA'!$B:$B,0))="x",'ETAPA OBRA'!Q$1&amp;", ","")&amp;
IF(INDEX('ETAPA OBRA'!R:R,MATCH($B142,'ETAPA OBRA'!$B:$B,0))="x",'ETAPA OBRA'!R$1&amp;", ","")&amp;
IF(INDEX('ETAPA OBRA'!S:S,MATCH($B142,'ETAPA OBRA'!$B:$B,0))="x",'ETAPA OBRA'!S$1&amp;", ","")&amp;
IF(INDEX('ETAPA OBRA'!T:T,MATCH($B142,'ETAPA OBRA'!$B:$B,0))="x",'ETAPA OBRA'!T$1&amp;", ","")&amp;
IF(INDEX('ETAPA OBRA'!U:U,MATCH($B142,'ETAPA OBRA'!$B:$B,0))="x",'ETAPA OBRA'!U$1&amp;", ",""),LEN(
IF(INDEX('ETAPA OBRA'!C:C,MATCH($B142,'ETAPA OBRA'!$B:$B,0))="x",'ETAPA OBRA'!C$1&amp;", ","")&amp;
IF(INDEX('ETAPA OBRA'!D:D,MATCH($B142,'ETAPA OBRA'!$B:$B,0))="x",'ETAPA OBRA'!D$1&amp;", ","")&amp;
IF(INDEX('ETAPA OBRA'!F:F,MATCH($B142,'ETAPA OBRA'!$B:$B,0))="x",'ETAPA OBRA'!F$1&amp;", ","")&amp;
IF(INDEX('ETAPA OBRA'!G:G,MATCH($B142,'ETAPA OBRA'!$B:$B,0))="x",'ETAPA OBRA'!G$1&amp;", ","")&amp;
IF(INDEX('ETAPA OBRA'!H:H,MATCH($B142,'ETAPA OBRA'!$B:$B,0))="x",'ETAPA OBRA'!H$1&amp;", ","")&amp;
IF(INDEX('ETAPA OBRA'!I:I,MATCH($B142,'ETAPA OBRA'!$B:$B,0))="x",'ETAPA OBRA'!I$1&amp;", ","")&amp;
IF(INDEX('ETAPA OBRA'!J:J,MATCH($B142,'ETAPA OBRA'!$B:$B,0))="x",'ETAPA OBRA'!J$1&amp;", ","")&amp;
IF(INDEX('ETAPA OBRA'!K:K,MATCH($B142,'ETAPA OBRA'!$B:$B,0))="x",'ETAPA OBRA'!K$1&amp;", ","")&amp;
IF(INDEX('ETAPA OBRA'!L:L,MATCH($B142,'ETAPA OBRA'!$B:$B,0))="x",'ETAPA OBRA'!L$1&amp;", ","")&amp;
IF(INDEX('ETAPA OBRA'!M:M,MATCH($B142,'ETAPA OBRA'!$B:$B,0))="x",'ETAPA OBRA'!M$1&amp;", ","")&amp;
IF(INDEX('ETAPA OBRA'!N:N,MATCH($B142,'ETAPA OBRA'!$B:$B,0))="x",'ETAPA OBRA'!N$1&amp;", ","")&amp;
IF(INDEX('ETAPA OBRA'!O:O,MATCH($B142,'ETAPA OBRA'!$B:$B,0))="x",'ETAPA OBRA'!O$1&amp;", ","")&amp;
IF(INDEX('ETAPA OBRA'!P:P,MATCH($B142,'ETAPA OBRA'!$B:$B,0))="x",'ETAPA OBRA'!P$1&amp;", ","")&amp;
IF(INDEX('ETAPA OBRA'!Q:Q,MATCH($B142,'ETAPA OBRA'!$B:$B,0))="x",'ETAPA OBRA'!Q$1&amp;", ","")&amp;
IF(INDEX('ETAPA OBRA'!R:R,MATCH($B142,'ETAPA OBRA'!$B:$B,0))="x",'ETAPA OBRA'!R$1&amp;", ","")&amp;
IF(INDEX('ETAPA OBRA'!S:S,MATCH($B142,'ETAPA OBRA'!$B:$B,0))="x",'ETAPA OBRA'!S$1&amp;", ","")&amp;
IF(INDEX('ETAPA OBRA'!T:T,MATCH($B142,'ETAPA OBRA'!$B:$B,0))="x",'ETAPA OBRA'!T$1&amp;", ","")&amp;
IF(INDEX('ETAPA OBRA'!U:U,MATCH($B142,'ETAPA OBRA'!$B:$B,0))="x",'ETAPA OBRA'!U$1&amp;", ","")
)-2),"")</f>
        <v>Execução</v>
      </c>
      <c r="N142" s="23" t="str">
        <f t="shared" ca="1" si="18"/>
        <v>Em andamento</v>
      </c>
      <c r="O142" s="28">
        <v>20986</v>
      </c>
      <c r="P142" s="37">
        <f t="shared" si="19"/>
        <v>11200</v>
      </c>
      <c r="Q142" s="28">
        <f t="shared" si="20"/>
        <v>9786</v>
      </c>
      <c r="R142" s="29">
        <f t="shared" si="21"/>
        <v>0.46631087391594395</v>
      </c>
      <c r="S142" s="23" t="str">
        <f t="shared" si="22"/>
        <v>✅ OK - Fechar Parceiro</v>
      </c>
      <c r="T142" s="23" t="str">
        <f ca="1">Cronograma[[#This Row],[STATUS]]</f>
        <v>🕓 EM ANDAMENTO</v>
      </c>
    </row>
    <row r="143" spans="1:20" ht="15" customHeight="1" x14ac:dyDescent="0.3">
      <c r="A143" s="23" t="s">
        <v>440</v>
      </c>
      <c r="B143" s="23" t="str">
        <f>IF(A143&lt;&gt;"","contel-"&amp;TEXT(COUNTA($A$2:A143),"00"),"")</f>
        <v>contel-142</v>
      </c>
      <c r="C143" s="23" t="s">
        <v>428</v>
      </c>
      <c r="D143" s="23" t="s">
        <v>112</v>
      </c>
      <c r="E143" s="23" t="s">
        <v>75</v>
      </c>
      <c r="F143" s="52" t="s">
        <v>441</v>
      </c>
      <c r="G143" s="23">
        <v>1938</v>
      </c>
      <c r="H143" s="30">
        <v>27853</v>
      </c>
      <c r="I143" s="23" t="s">
        <v>34</v>
      </c>
      <c r="J143" s="25">
        <f>SUM(EQUIPE!C143,EQUIPE!E143,EQUIPE!G143,EQUIPE!I143,EQUIPE!K143,EQUIPE!M143,EQUIPE!O143)</f>
        <v>11000</v>
      </c>
      <c r="K143" s="25">
        <v>0</v>
      </c>
      <c r="L143" s="25">
        <v>0</v>
      </c>
      <c r="M143" s="27" t="str">
        <f ca="1">IFERROR(LEFT(
IF(INDEX('ETAPA OBRA'!C:C,MATCH($B143,'ETAPA OBRA'!$B:$B,0))="x",'ETAPA OBRA'!C$1&amp;", ","")&amp;
IF(INDEX('ETAPA OBRA'!D:D,MATCH($B143,'ETAPA OBRA'!$B:$B,0))="x",'ETAPA OBRA'!D$1&amp;", ","")&amp;
IF(INDEX('ETAPA OBRA'!F:F,MATCH($B143,'ETAPA OBRA'!$B:$B,0))="x",'ETAPA OBRA'!F$1&amp;", ","")&amp;
IF(INDEX('ETAPA OBRA'!G:G,MATCH($B143,'ETAPA OBRA'!$B:$B,0))="x",'ETAPA OBRA'!G$1&amp;", ","")&amp;
IF(INDEX('ETAPA OBRA'!H:H,MATCH($B143,'ETAPA OBRA'!$B:$B,0))="x",'ETAPA OBRA'!H$1&amp;", ","")&amp;
IF(INDEX('ETAPA OBRA'!I:I,MATCH($B143,'ETAPA OBRA'!$B:$B,0))="x",'ETAPA OBRA'!I$1&amp;", ","")&amp;
IF(INDEX('ETAPA OBRA'!J:J,MATCH($B143,'ETAPA OBRA'!$B:$B,0))="x",'ETAPA OBRA'!J$1&amp;", ","")&amp;
IF(INDEX('ETAPA OBRA'!K:K,MATCH($B143,'ETAPA OBRA'!$B:$B,0))="x",'ETAPA OBRA'!K$1&amp;", ","")&amp;
IF(INDEX('ETAPA OBRA'!L:L,MATCH($B143,'ETAPA OBRA'!$B:$B,0))="x",'ETAPA OBRA'!L$1&amp;", ","")&amp;
IF(INDEX('ETAPA OBRA'!M:M,MATCH($B143,'ETAPA OBRA'!$B:$B,0))="x",'ETAPA OBRA'!M$1&amp;", ","")&amp;
IF(INDEX('ETAPA OBRA'!N:N,MATCH($B143,'ETAPA OBRA'!$B:$B,0))="x",'ETAPA OBRA'!N$1&amp;", ","")&amp;
IF(INDEX('ETAPA OBRA'!O:O,MATCH($B143,'ETAPA OBRA'!$B:$B,0))="x",'ETAPA OBRA'!O$1&amp;", ","")&amp;
IF(INDEX('ETAPA OBRA'!P:P,MATCH($B143,'ETAPA OBRA'!$B:$B,0))="x",'ETAPA OBRA'!P$1&amp;", ","")&amp;
IF(INDEX('ETAPA OBRA'!Q:Q,MATCH($B143,'ETAPA OBRA'!$B:$B,0))="x",'ETAPA OBRA'!Q$1&amp;", ","")&amp;
IF(INDEX('ETAPA OBRA'!R:R,MATCH($B143,'ETAPA OBRA'!$B:$B,0))="x",'ETAPA OBRA'!R$1&amp;", ","")&amp;
IF(INDEX('ETAPA OBRA'!S:S,MATCH($B143,'ETAPA OBRA'!$B:$B,0))="x",'ETAPA OBRA'!S$1&amp;", ","")&amp;
IF(INDEX('ETAPA OBRA'!T:T,MATCH($B143,'ETAPA OBRA'!$B:$B,0))="x",'ETAPA OBRA'!T$1&amp;", ","")&amp;
IF(INDEX('ETAPA OBRA'!U:U,MATCH($B143,'ETAPA OBRA'!$B:$B,0))="x",'ETAPA OBRA'!U$1&amp;", ",""),LEN(
IF(INDEX('ETAPA OBRA'!C:C,MATCH($B143,'ETAPA OBRA'!$B:$B,0))="x",'ETAPA OBRA'!C$1&amp;", ","")&amp;
IF(INDEX('ETAPA OBRA'!D:D,MATCH($B143,'ETAPA OBRA'!$B:$B,0))="x",'ETAPA OBRA'!D$1&amp;", ","")&amp;
IF(INDEX('ETAPA OBRA'!F:F,MATCH($B143,'ETAPA OBRA'!$B:$B,0))="x",'ETAPA OBRA'!F$1&amp;", ","")&amp;
IF(INDEX('ETAPA OBRA'!G:G,MATCH($B143,'ETAPA OBRA'!$B:$B,0))="x",'ETAPA OBRA'!G$1&amp;", ","")&amp;
IF(INDEX('ETAPA OBRA'!H:H,MATCH($B143,'ETAPA OBRA'!$B:$B,0))="x",'ETAPA OBRA'!H$1&amp;", ","")&amp;
IF(INDEX('ETAPA OBRA'!I:I,MATCH($B143,'ETAPA OBRA'!$B:$B,0))="x",'ETAPA OBRA'!I$1&amp;", ","")&amp;
IF(INDEX('ETAPA OBRA'!J:J,MATCH($B143,'ETAPA OBRA'!$B:$B,0))="x",'ETAPA OBRA'!J$1&amp;", ","")&amp;
IF(INDEX('ETAPA OBRA'!K:K,MATCH($B143,'ETAPA OBRA'!$B:$B,0))="x",'ETAPA OBRA'!K$1&amp;", ","")&amp;
IF(INDEX('ETAPA OBRA'!L:L,MATCH($B143,'ETAPA OBRA'!$B:$B,0))="x",'ETAPA OBRA'!L$1&amp;", ","")&amp;
IF(INDEX('ETAPA OBRA'!M:M,MATCH($B143,'ETAPA OBRA'!$B:$B,0))="x",'ETAPA OBRA'!M$1&amp;", ","")&amp;
IF(INDEX('ETAPA OBRA'!N:N,MATCH($B143,'ETAPA OBRA'!$B:$B,0))="x",'ETAPA OBRA'!N$1&amp;", ","")&amp;
IF(INDEX('ETAPA OBRA'!O:O,MATCH($B143,'ETAPA OBRA'!$B:$B,0))="x",'ETAPA OBRA'!O$1&amp;", ","")&amp;
IF(INDEX('ETAPA OBRA'!P:P,MATCH($B143,'ETAPA OBRA'!$B:$B,0))="x",'ETAPA OBRA'!P$1&amp;", ","")&amp;
IF(INDEX('ETAPA OBRA'!Q:Q,MATCH($B143,'ETAPA OBRA'!$B:$B,0))="x",'ETAPA OBRA'!Q$1&amp;", ","")&amp;
IF(INDEX('ETAPA OBRA'!R:R,MATCH($B143,'ETAPA OBRA'!$B:$B,0))="x",'ETAPA OBRA'!R$1&amp;", ","")&amp;
IF(INDEX('ETAPA OBRA'!S:S,MATCH($B143,'ETAPA OBRA'!$B:$B,0))="x",'ETAPA OBRA'!S$1&amp;", ","")&amp;
IF(INDEX('ETAPA OBRA'!T:T,MATCH($B143,'ETAPA OBRA'!$B:$B,0))="x",'ETAPA OBRA'!T$1&amp;", ","")&amp;
IF(INDEX('ETAPA OBRA'!U:U,MATCH($B143,'ETAPA OBRA'!$B:$B,0))="x",'ETAPA OBRA'!U$1&amp;", ","")
)-2),"")</f>
        <v>Execução</v>
      </c>
      <c r="N143" s="23" t="str">
        <f t="shared" ca="1" si="18"/>
        <v>Em andamento</v>
      </c>
      <c r="O143" s="28">
        <v>26928</v>
      </c>
      <c r="P143" s="37">
        <f t="shared" si="19"/>
        <v>11000</v>
      </c>
      <c r="Q143" s="28">
        <f t="shared" si="20"/>
        <v>15928</v>
      </c>
      <c r="R143" s="29">
        <f t="shared" si="21"/>
        <v>0.59150326797385622</v>
      </c>
      <c r="S143" s="23" t="str">
        <f t="shared" si="22"/>
        <v>✅ OK - Fechar Parceiro</v>
      </c>
      <c r="T143" s="23" t="str">
        <f ca="1">Cronograma[[#This Row],[STATUS]]</f>
        <v>🕓 EM ANDAMENTO</v>
      </c>
    </row>
    <row r="144" spans="1:20" ht="15" customHeight="1" x14ac:dyDescent="0.3">
      <c r="A144" s="23" t="s">
        <v>442</v>
      </c>
      <c r="B144" s="23" t="str">
        <f>IF(A144&lt;&gt;"","contel-"&amp;TEXT(COUNTA($A$2:A144),"00"),"")</f>
        <v>contel-143</v>
      </c>
      <c r="C144" s="23" t="s">
        <v>428</v>
      </c>
      <c r="D144" s="23" t="s">
        <v>443</v>
      </c>
      <c r="E144" s="23" t="s">
        <v>75</v>
      </c>
      <c r="F144" s="52" t="s">
        <v>444</v>
      </c>
      <c r="G144" s="23">
        <v>1939</v>
      </c>
      <c r="H144" s="30">
        <v>27855</v>
      </c>
      <c r="I144" s="23" t="s">
        <v>34</v>
      </c>
      <c r="J144" s="25">
        <f>SUM(EQUIPE!C144,EQUIPE!E144,EQUIPE!G144,EQUIPE!I144,EQUIPE!K144,EQUIPE!M144,EQUIPE!O144)</f>
        <v>10000</v>
      </c>
      <c r="K144" s="25">
        <v>0</v>
      </c>
      <c r="L144" s="25">
        <v>0</v>
      </c>
      <c r="M144" s="27" t="str">
        <f ca="1">IFERROR(LEFT(
IF(INDEX('ETAPA OBRA'!C:C,MATCH($B144,'ETAPA OBRA'!$B:$B,0))="x",'ETAPA OBRA'!C$1&amp;", ","")&amp;
IF(INDEX('ETAPA OBRA'!D:D,MATCH($B144,'ETAPA OBRA'!$B:$B,0))="x",'ETAPA OBRA'!D$1&amp;", ","")&amp;
IF(INDEX('ETAPA OBRA'!F:F,MATCH($B144,'ETAPA OBRA'!$B:$B,0))="x",'ETAPA OBRA'!F$1&amp;", ","")&amp;
IF(INDEX('ETAPA OBRA'!G:G,MATCH($B144,'ETAPA OBRA'!$B:$B,0))="x",'ETAPA OBRA'!G$1&amp;", ","")&amp;
IF(INDEX('ETAPA OBRA'!H:H,MATCH($B144,'ETAPA OBRA'!$B:$B,0))="x",'ETAPA OBRA'!H$1&amp;", ","")&amp;
IF(INDEX('ETAPA OBRA'!I:I,MATCH($B144,'ETAPA OBRA'!$B:$B,0))="x",'ETAPA OBRA'!I$1&amp;", ","")&amp;
IF(INDEX('ETAPA OBRA'!J:J,MATCH($B144,'ETAPA OBRA'!$B:$B,0))="x",'ETAPA OBRA'!J$1&amp;", ","")&amp;
IF(INDEX('ETAPA OBRA'!K:K,MATCH($B144,'ETAPA OBRA'!$B:$B,0))="x",'ETAPA OBRA'!K$1&amp;", ","")&amp;
IF(INDEX('ETAPA OBRA'!L:L,MATCH($B144,'ETAPA OBRA'!$B:$B,0))="x",'ETAPA OBRA'!L$1&amp;", ","")&amp;
IF(INDEX('ETAPA OBRA'!M:M,MATCH($B144,'ETAPA OBRA'!$B:$B,0))="x",'ETAPA OBRA'!M$1&amp;", ","")&amp;
IF(INDEX('ETAPA OBRA'!N:N,MATCH($B144,'ETAPA OBRA'!$B:$B,0))="x",'ETAPA OBRA'!N$1&amp;", ","")&amp;
IF(INDEX('ETAPA OBRA'!O:O,MATCH($B144,'ETAPA OBRA'!$B:$B,0))="x",'ETAPA OBRA'!O$1&amp;", ","")&amp;
IF(INDEX('ETAPA OBRA'!P:P,MATCH($B144,'ETAPA OBRA'!$B:$B,0))="x",'ETAPA OBRA'!P$1&amp;", ","")&amp;
IF(INDEX('ETAPA OBRA'!Q:Q,MATCH($B144,'ETAPA OBRA'!$B:$B,0))="x",'ETAPA OBRA'!Q$1&amp;", ","")&amp;
IF(INDEX('ETAPA OBRA'!R:R,MATCH($B144,'ETAPA OBRA'!$B:$B,0))="x",'ETAPA OBRA'!R$1&amp;", ","")&amp;
IF(INDEX('ETAPA OBRA'!S:S,MATCH($B144,'ETAPA OBRA'!$B:$B,0))="x",'ETAPA OBRA'!S$1&amp;", ","")&amp;
IF(INDEX('ETAPA OBRA'!T:T,MATCH($B144,'ETAPA OBRA'!$B:$B,0))="x",'ETAPA OBRA'!T$1&amp;", ","")&amp;
IF(INDEX('ETAPA OBRA'!U:U,MATCH($B144,'ETAPA OBRA'!$B:$B,0))="x",'ETAPA OBRA'!U$1&amp;", ",""),LEN(
IF(INDEX('ETAPA OBRA'!C:C,MATCH($B144,'ETAPA OBRA'!$B:$B,0))="x",'ETAPA OBRA'!C$1&amp;", ","")&amp;
IF(INDEX('ETAPA OBRA'!D:D,MATCH($B144,'ETAPA OBRA'!$B:$B,0))="x",'ETAPA OBRA'!D$1&amp;", ","")&amp;
IF(INDEX('ETAPA OBRA'!F:F,MATCH($B144,'ETAPA OBRA'!$B:$B,0))="x",'ETAPA OBRA'!F$1&amp;", ","")&amp;
IF(INDEX('ETAPA OBRA'!G:G,MATCH($B144,'ETAPA OBRA'!$B:$B,0))="x",'ETAPA OBRA'!G$1&amp;", ","")&amp;
IF(INDEX('ETAPA OBRA'!H:H,MATCH($B144,'ETAPA OBRA'!$B:$B,0))="x",'ETAPA OBRA'!H$1&amp;", ","")&amp;
IF(INDEX('ETAPA OBRA'!I:I,MATCH($B144,'ETAPA OBRA'!$B:$B,0))="x",'ETAPA OBRA'!I$1&amp;", ","")&amp;
IF(INDEX('ETAPA OBRA'!J:J,MATCH($B144,'ETAPA OBRA'!$B:$B,0))="x",'ETAPA OBRA'!J$1&amp;", ","")&amp;
IF(INDEX('ETAPA OBRA'!K:K,MATCH($B144,'ETAPA OBRA'!$B:$B,0))="x",'ETAPA OBRA'!K$1&amp;", ","")&amp;
IF(INDEX('ETAPA OBRA'!L:L,MATCH($B144,'ETAPA OBRA'!$B:$B,0))="x",'ETAPA OBRA'!L$1&amp;", ","")&amp;
IF(INDEX('ETAPA OBRA'!M:M,MATCH($B144,'ETAPA OBRA'!$B:$B,0))="x",'ETAPA OBRA'!M$1&amp;", ","")&amp;
IF(INDEX('ETAPA OBRA'!N:N,MATCH($B144,'ETAPA OBRA'!$B:$B,0))="x",'ETAPA OBRA'!N$1&amp;", ","")&amp;
IF(INDEX('ETAPA OBRA'!O:O,MATCH($B144,'ETAPA OBRA'!$B:$B,0))="x",'ETAPA OBRA'!O$1&amp;", ","")&amp;
IF(INDEX('ETAPA OBRA'!P:P,MATCH($B144,'ETAPA OBRA'!$B:$B,0))="x",'ETAPA OBRA'!P$1&amp;", ","")&amp;
IF(INDEX('ETAPA OBRA'!Q:Q,MATCH($B144,'ETAPA OBRA'!$B:$B,0))="x",'ETAPA OBRA'!Q$1&amp;", ","")&amp;
IF(INDEX('ETAPA OBRA'!R:R,MATCH($B144,'ETAPA OBRA'!$B:$B,0))="x",'ETAPA OBRA'!R$1&amp;", ","")&amp;
IF(INDEX('ETAPA OBRA'!S:S,MATCH($B144,'ETAPA OBRA'!$B:$B,0))="x",'ETAPA OBRA'!S$1&amp;", ","")&amp;
IF(INDEX('ETAPA OBRA'!T:T,MATCH($B144,'ETAPA OBRA'!$B:$B,0))="x",'ETAPA OBRA'!T$1&amp;", ","")&amp;
IF(INDEX('ETAPA OBRA'!U:U,MATCH($B144,'ETAPA OBRA'!$B:$B,0))="x",'ETAPA OBRA'!U$1&amp;", ","")
)-2),"")</f>
        <v>Execução</v>
      </c>
      <c r="N144" s="23" t="str">
        <f t="shared" ca="1" si="18"/>
        <v>Em andamento</v>
      </c>
      <c r="O144" s="28">
        <v>24918</v>
      </c>
      <c r="P144" s="37">
        <f t="shared" si="19"/>
        <v>10000</v>
      </c>
      <c r="Q144" s="28">
        <f t="shared" si="20"/>
        <v>14918</v>
      </c>
      <c r="R144" s="29">
        <f t="shared" si="21"/>
        <v>0.59868368247852954</v>
      </c>
      <c r="S144" s="23" t="str">
        <f t="shared" si="22"/>
        <v>✅ OK - Fechar Parceiro</v>
      </c>
      <c r="T144" s="23" t="str">
        <f ca="1">Cronograma[[#This Row],[STATUS]]</f>
        <v>🕓 EM ANDAMENTO</v>
      </c>
    </row>
    <row r="145" spans="1:20" ht="15" customHeight="1" x14ac:dyDescent="0.3">
      <c r="A145" s="23" t="s">
        <v>445</v>
      </c>
      <c r="B145" s="23" t="str">
        <f>IF(A145&lt;&gt;"","contel-"&amp;TEXT(COUNTA($A$2:A145),"00"),"")</f>
        <v>contel-144</v>
      </c>
      <c r="C145" s="23" t="s">
        <v>428</v>
      </c>
      <c r="D145" s="23" t="s">
        <v>446</v>
      </c>
      <c r="E145" s="23" t="s">
        <v>32</v>
      </c>
      <c r="F145" s="52" t="s">
        <v>447</v>
      </c>
      <c r="G145" s="23">
        <v>1933</v>
      </c>
      <c r="H145" s="30">
        <v>27842</v>
      </c>
      <c r="I145" s="23" t="s">
        <v>34</v>
      </c>
      <c r="J145" s="25">
        <f>SUM(EQUIPE!C145,EQUIPE!E145,EQUIPE!G145,EQUIPE!I145,EQUIPE!K145,EQUIPE!M145,EQUIPE!O145)</f>
        <v>12300</v>
      </c>
      <c r="K145" s="25">
        <v>0</v>
      </c>
      <c r="L145" s="25">
        <v>0</v>
      </c>
      <c r="M145" s="27" t="str">
        <f ca="1">IFERROR(LEFT(
IF(INDEX('ETAPA OBRA'!C:C,MATCH($B145,'ETAPA OBRA'!$B:$B,0))="x",'ETAPA OBRA'!C$1&amp;", ","")&amp;
IF(INDEX('ETAPA OBRA'!D:D,MATCH($B145,'ETAPA OBRA'!$B:$B,0))="x",'ETAPA OBRA'!D$1&amp;", ","")&amp;
IF(INDEX('ETAPA OBRA'!F:F,MATCH($B145,'ETAPA OBRA'!$B:$B,0))="x",'ETAPA OBRA'!F$1&amp;", ","")&amp;
IF(INDEX('ETAPA OBRA'!G:G,MATCH($B145,'ETAPA OBRA'!$B:$B,0))="x",'ETAPA OBRA'!G$1&amp;", ","")&amp;
IF(INDEX('ETAPA OBRA'!H:H,MATCH($B145,'ETAPA OBRA'!$B:$B,0))="x",'ETAPA OBRA'!H$1&amp;", ","")&amp;
IF(INDEX('ETAPA OBRA'!I:I,MATCH($B145,'ETAPA OBRA'!$B:$B,0))="x",'ETAPA OBRA'!I$1&amp;", ","")&amp;
IF(INDEX('ETAPA OBRA'!J:J,MATCH($B145,'ETAPA OBRA'!$B:$B,0))="x",'ETAPA OBRA'!J$1&amp;", ","")&amp;
IF(INDEX('ETAPA OBRA'!K:K,MATCH($B145,'ETAPA OBRA'!$B:$B,0))="x",'ETAPA OBRA'!K$1&amp;", ","")&amp;
IF(INDEX('ETAPA OBRA'!L:L,MATCH($B145,'ETAPA OBRA'!$B:$B,0))="x",'ETAPA OBRA'!L$1&amp;", ","")&amp;
IF(INDEX('ETAPA OBRA'!M:M,MATCH($B145,'ETAPA OBRA'!$B:$B,0))="x",'ETAPA OBRA'!M$1&amp;", ","")&amp;
IF(INDEX('ETAPA OBRA'!N:N,MATCH($B145,'ETAPA OBRA'!$B:$B,0))="x",'ETAPA OBRA'!N$1&amp;", ","")&amp;
IF(INDEX('ETAPA OBRA'!O:O,MATCH($B145,'ETAPA OBRA'!$B:$B,0))="x",'ETAPA OBRA'!O$1&amp;", ","")&amp;
IF(INDEX('ETAPA OBRA'!P:P,MATCH($B145,'ETAPA OBRA'!$B:$B,0))="x",'ETAPA OBRA'!P$1&amp;", ","")&amp;
IF(INDEX('ETAPA OBRA'!Q:Q,MATCH($B145,'ETAPA OBRA'!$B:$B,0))="x",'ETAPA OBRA'!Q$1&amp;", ","")&amp;
IF(INDEX('ETAPA OBRA'!R:R,MATCH($B145,'ETAPA OBRA'!$B:$B,0))="x",'ETAPA OBRA'!R$1&amp;", ","")&amp;
IF(INDEX('ETAPA OBRA'!S:S,MATCH($B145,'ETAPA OBRA'!$B:$B,0))="x",'ETAPA OBRA'!S$1&amp;", ","")&amp;
IF(INDEX('ETAPA OBRA'!T:T,MATCH($B145,'ETAPA OBRA'!$B:$B,0))="x",'ETAPA OBRA'!T$1&amp;", ","")&amp;
IF(INDEX('ETAPA OBRA'!U:U,MATCH($B145,'ETAPA OBRA'!$B:$B,0))="x",'ETAPA OBRA'!U$1&amp;", ",""),LEN(
IF(INDEX('ETAPA OBRA'!C:C,MATCH($B145,'ETAPA OBRA'!$B:$B,0))="x",'ETAPA OBRA'!C$1&amp;", ","")&amp;
IF(INDEX('ETAPA OBRA'!D:D,MATCH($B145,'ETAPA OBRA'!$B:$B,0))="x",'ETAPA OBRA'!D$1&amp;", ","")&amp;
IF(INDEX('ETAPA OBRA'!F:F,MATCH($B145,'ETAPA OBRA'!$B:$B,0))="x",'ETAPA OBRA'!F$1&amp;", ","")&amp;
IF(INDEX('ETAPA OBRA'!G:G,MATCH($B145,'ETAPA OBRA'!$B:$B,0))="x",'ETAPA OBRA'!G$1&amp;", ","")&amp;
IF(INDEX('ETAPA OBRA'!H:H,MATCH($B145,'ETAPA OBRA'!$B:$B,0))="x",'ETAPA OBRA'!H$1&amp;", ","")&amp;
IF(INDEX('ETAPA OBRA'!I:I,MATCH($B145,'ETAPA OBRA'!$B:$B,0))="x",'ETAPA OBRA'!I$1&amp;", ","")&amp;
IF(INDEX('ETAPA OBRA'!J:J,MATCH($B145,'ETAPA OBRA'!$B:$B,0))="x",'ETAPA OBRA'!J$1&amp;", ","")&amp;
IF(INDEX('ETAPA OBRA'!K:K,MATCH($B145,'ETAPA OBRA'!$B:$B,0))="x",'ETAPA OBRA'!K$1&amp;", ","")&amp;
IF(INDEX('ETAPA OBRA'!L:L,MATCH($B145,'ETAPA OBRA'!$B:$B,0))="x",'ETAPA OBRA'!L$1&amp;", ","")&amp;
IF(INDEX('ETAPA OBRA'!M:M,MATCH($B145,'ETAPA OBRA'!$B:$B,0))="x",'ETAPA OBRA'!M$1&amp;", ","")&amp;
IF(INDEX('ETAPA OBRA'!N:N,MATCH($B145,'ETAPA OBRA'!$B:$B,0))="x",'ETAPA OBRA'!N$1&amp;", ","")&amp;
IF(INDEX('ETAPA OBRA'!O:O,MATCH($B145,'ETAPA OBRA'!$B:$B,0))="x",'ETAPA OBRA'!O$1&amp;", ","")&amp;
IF(INDEX('ETAPA OBRA'!P:P,MATCH($B145,'ETAPA OBRA'!$B:$B,0))="x",'ETAPA OBRA'!P$1&amp;", ","")&amp;
IF(INDEX('ETAPA OBRA'!Q:Q,MATCH($B145,'ETAPA OBRA'!$B:$B,0))="x",'ETAPA OBRA'!Q$1&amp;", ","")&amp;
IF(INDEX('ETAPA OBRA'!R:R,MATCH($B145,'ETAPA OBRA'!$B:$B,0))="x",'ETAPA OBRA'!R$1&amp;", ","")&amp;
IF(INDEX('ETAPA OBRA'!S:S,MATCH($B145,'ETAPA OBRA'!$B:$B,0))="x",'ETAPA OBRA'!S$1&amp;", ","")&amp;
IF(INDEX('ETAPA OBRA'!T:T,MATCH($B145,'ETAPA OBRA'!$B:$B,0))="x",'ETAPA OBRA'!T$1&amp;", ","")&amp;
IF(INDEX('ETAPA OBRA'!U:U,MATCH($B145,'ETAPA OBRA'!$B:$B,0))="x",'ETAPA OBRA'!U$1&amp;", ","")
)-2),"")</f>
        <v>Execução</v>
      </c>
      <c r="N145" s="23" t="str">
        <f t="shared" ca="1" si="18"/>
        <v>Em andamento</v>
      </c>
      <c r="O145" s="28">
        <v>32736.1</v>
      </c>
      <c r="P145" s="37">
        <f t="shared" si="19"/>
        <v>12300</v>
      </c>
      <c r="Q145" s="28">
        <f t="shared" si="20"/>
        <v>20436.099999999999</v>
      </c>
      <c r="R145" s="29">
        <f t="shared" si="21"/>
        <v>0.62426800993398723</v>
      </c>
      <c r="S145" s="23" t="str">
        <f t="shared" si="22"/>
        <v>✅ OK - Fechar Parceiro</v>
      </c>
      <c r="T145" s="23" t="str">
        <f ca="1">Cronograma[[#This Row],[STATUS]]</f>
        <v>🕓 EM ANDAMENTO</v>
      </c>
    </row>
    <row r="146" spans="1:20" ht="15" customHeight="1" x14ac:dyDescent="0.3">
      <c r="A146" s="23" t="s">
        <v>448</v>
      </c>
      <c r="B146" s="23" t="str">
        <f>IF(A146&lt;&gt;"","contel-"&amp;TEXT(COUNTA($A$2:A146),"00"),"")</f>
        <v>contel-145</v>
      </c>
      <c r="C146" s="23" t="s">
        <v>120</v>
      </c>
      <c r="D146" s="23" t="s">
        <v>308</v>
      </c>
      <c r="E146" s="23" t="s">
        <v>309</v>
      </c>
      <c r="F146" s="52" t="s">
        <v>449</v>
      </c>
      <c r="G146" s="23">
        <v>1940</v>
      </c>
      <c r="H146" s="30">
        <v>27852</v>
      </c>
      <c r="I146" s="23" t="s">
        <v>297</v>
      </c>
      <c r="J146" s="25">
        <f>SUM(EQUIPE!C146,EQUIPE!E146,EQUIPE!G146,EQUIPE!I146,EQUIPE!K146,EQUIPE!M146,EQUIPE!O146)</f>
        <v>1200</v>
      </c>
      <c r="K146" s="25">
        <v>0</v>
      </c>
      <c r="L146" s="25">
        <v>0</v>
      </c>
      <c r="M146" s="27" t="str">
        <f ca="1">IFERROR(LEFT(
IF(INDEX('ETAPA OBRA'!C:C,MATCH($B146,'ETAPA OBRA'!$B:$B,0))="x",'ETAPA OBRA'!C$1&amp;", ","")&amp;
IF(INDEX('ETAPA OBRA'!D:D,MATCH($B146,'ETAPA OBRA'!$B:$B,0))="x",'ETAPA OBRA'!D$1&amp;", ","")&amp;
IF(INDEX('ETAPA OBRA'!F:F,MATCH($B146,'ETAPA OBRA'!$B:$B,0))="x",'ETAPA OBRA'!F$1&amp;", ","")&amp;
IF(INDEX('ETAPA OBRA'!G:G,MATCH($B146,'ETAPA OBRA'!$B:$B,0))="x",'ETAPA OBRA'!G$1&amp;", ","")&amp;
IF(INDEX('ETAPA OBRA'!H:H,MATCH($B146,'ETAPA OBRA'!$B:$B,0))="x",'ETAPA OBRA'!H$1&amp;", ","")&amp;
IF(INDEX('ETAPA OBRA'!I:I,MATCH($B146,'ETAPA OBRA'!$B:$B,0))="x",'ETAPA OBRA'!I$1&amp;", ","")&amp;
IF(INDEX('ETAPA OBRA'!J:J,MATCH($B146,'ETAPA OBRA'!$B:$B,0))="x",'ETAPA OBRA'!J$1&amp;", ","")&amp;
IF(INDEX('ETAPA OBRA'!K:K,MATCH($B146,'ETAPA OBRA'!$B:$B,0))="x",'ETAPA OBRA'!K$1&amp;", ","")&amp;
IF(INDEX('ETAPA OBRA'!L:L,MATCH($B146,'ETAPA OBRA'!$B:$B,0))="x",'ETAPA OBRA'!L$1&amp;", ","")&amp;
IF(INDEX('ETAPA OBRA'!M:M,MATCH($B146,'ETAPA OBRA'!$B:$B,0))="x",'ETAPA OBRA'!M$1&amp;", ","")&amp;
IF(INDEX('ETAPA OBRA'!N:N,MATCH($B146,'ETAPA OBRA'!$B:$B,0))="x",'ETAPA OBRA'!N$1&amp;", ","")&amp;
IF(INDEX('ETAPA OBRA'!O:O,MATCH($B146,'ETAPA OBRA'!$B:$B,0))="x",'ETAPA OBRA'!O$1&amp;", ","")&amp;
IF(INDEX('ETAPA OBRA'!P:P,MATCH($B146,'ETAPA OBRA'!$B:$B,0))="x",'ETAPA OBRA'!P$1&amp;", ","")&amp;
IF(INDEX('ETAPA OBRA'!Q:Q,MATCH($B146,'ETAPA OBRA'!$B:$B,0))="x",'ETAPA OBRA'!Q$1&amp;", ","")&amp;
IF(INDEX('ETAPA OBRA'!R:R,MATCH($B146,'ETAPA OBRA'!$B:$B,0))="x",'ETAPA OBRA'!R$1&amp;", ","")&amp;
IF(INDEX('ETAPA OBRA'!S:S,MATCH($B146,'ETAPA OBRA'!$B:$B,0))="x",'ETAPA OBRA'!S$1&amp;", ","")&amp;
IF(INDEX('ETAPA OBRA'!T:T,MATCH($B146,'ETAPA OBRA'!$B:$B,0))="x",'ETAPA OBRA'!T$1&amp;", ","")&amp;
IF(INDEX('ETAPA OBRA'!U:U,MATCH($B146,'ETAPA OBRA'!$B:$B,0))="x",'ETAPA OBRA'!U$1&amp;", ",""),LEN(
IF(INDEX('ETAPA OBRA'!C:C,MATCH($B146,'ETAPA OBRA'!$B:$B,0))="x",'ETAPA OBRA'!C$1&amp;", ","")&amp;
IF(INDEX('ETAPA OBRA'!D:D,MATCH($B146,'ETAPA OBRA'!$B:$B,0))="x",'ETAPA OBRA'!D$1&amp;", ","")&amp;
IF(INDEX('ETAPA OBRA'!F:F,MATCH($B146,'ETAPA OBRA'!$B:$B,0))="x",'ETAPA OBRA'!F$1&amp;", ","")&amp;
IF(INDEX('ETAPA OBRA'!G:G,MATCH($B146,'ETAPA OBRA'!$B:$B,0))="x",'ETAPA OBRA'!G$1&amp;", ","")&amp;
IF(INDEX('ETAPA OBRA'!H:H,MATCH($B146,'ETAPA OBRA'!$B:$B,0))="x",'ETAPA OBRA'!H$1&amp;", ","")&amp;
IF(INDEX('ETAPA OBRA'!I:I,MATCH($B146,'ETAPA OBRA'!$B:$B,0))="x",'ETAPA OBRA'!I$1&amp;", ","")&amp;
IF(INDEX('ETAPA OBRA'!J:J,MATCH($B146,'ETAPA OBRA'!$B:$B,0))="x",'ETAPA OBRA'!J$1&amp;", ","")&amp;
IF(INDEX('ETAPA OBRA'!K:K,MATCH($B146,'ETAPA OBRA'!$B:$B,0))="x",'ETAPA OBRA'!K$1&amp;", ","")&amp;
IF(INDEX('ETAPA OBRA'!L:L,MATCH($B146,'ETAPA OBRA'!$B:$B,0))="x",'ETAPA OBRA'!L$1&amp;", ","")&amp;
IF(INDEX('ETAPA OBRA'!M:M,MATCH($B146,'ETAPA OBRA'!$B:$B,0))="x",'ETAPA OBRA'!M$1&amp;", ","")&amp;
IF(INDEX('ETAPA OBRA'!N:N,MATCH($B146,'ETAPA OBRA'!$B:$B,0))="x",'ETAPA OBRA'!N$1&amp;", ","")&amp;
IF(INDEX('ETAPA OBRA'!O:O,MATCH($B146,'ETAPA OBRA'!$B:$B,0))="x",'ETAPA OBRA'!O$1&amp;", ","")&amp;
IF(INDEX('ETAPA OBRA'!P:P,MATCH($B146,'ETAPA OBRA'!$B:$B,0))="x",'ETAPA OBRA'!P$1&amp;", ","")&amp;
IF(INDEX('ETAPA OBRA'!Q:Q,MATCH($B146,'ETAPA OBRA'!$B:$B,0))="x",'ETAPA OBRA'!Q$1&amp;", ","")&amp;
IF(INDEX('ETAPA OBRA'!R:R,MATCH($B146,'ETAPA OBRA'!$B:$B,0))="x",'ETAPA OBRA'!R$1&amp;", ","")&amp;
IF(INDEX('ETAPA OBRA'!S:S,MATCH($B146,'ETAPA OBRA'!$B:$B,0))="x",'ETAPA OBRA'!S$1&amp;", ","")&amp;
IF(INDEX('ETAPA OBRA'!T:T,MATCH($B146,'ETAPA OBRA'!$B:$B,0))="x",'ETAPA OBRA'!T$1&amp;", ","")&amp;
IF(INDEX('ETAPA OBRA'!U:U,MATCH($B146,'ETAPA OBRA'!$B:$B,0))="x",'ETAPA OBRA'!U$1&amp;", ","")
)-2),"")</f>
        <v>Survey</v>
      </c>
      <c r="N146" s="23" t="str">
        <f t="shared" ca="1" si="18"/>
        <v>Em andamento</v>
      </c>
      <c r="O146" s="28">
        <v>0</v>
      </c>
      <c r="P146" s="37">
        <f t="shared" si="19"/>
        <v>1200</v>
      </c>
      <c r="Q146" s="28">
        <f t="shared" si="20"/>
        <v>-1200</v>
      </c>
      <c r="R146" s="29">
        <f t="shared" si="21"/>
        <v>0</v>
      </c>
      <c r="S146" s="23" t="str">
        <f t="shared" si="22"/>
        <v>⚠️ Ajustar Custos (&lt;20%)</v>
      </c>
      <c r="T146" s="23" t="str">
        <f ca="1">Cronograma[[#This Row],[STATUS]]</f>
        <v>🕓 EM ANDAMENTO</v>
      </c>
    </row>
    <row r="147" spans="1:20" ht="15" customHeight="1" x14ac:dyDescent="0.3">
      <c r="A147" s="23" t="s">
        <v>450</v>
      </c>
      <c r="B147" s="23" t="str">
        <f>IF(A147&lt;&gt;"","contel-"&amp;TEXT(COUNTA($A$2:A147),"00"),"")</f>
        <v>contel-146</v>
      </c>
      <c r="C147" s="23" t="s">
        <v>120</v>
      </c>
      <c r="D147" s="23" t="s">
        <v>202</v>
      </c>
      <c r="E147" s="23" t="s">
        <v>125</v>
      </c>
      <c r="F147" s="52" t="s">
        <v>451</v>
      </c>
      <c r="G147" s="23">
        <v>1932</v>
      </c>
      <c r="H147" s="30">
        <v>27847</v>
      </c>
      <c r="I147" s="23" t="s">
        <v>297</v>
      </c>
      <c r="J147" s="25">
        <f>SUM(EQUIPE!C147,EQUIPE!E147,EQUIPE!G147,EQUIPE!I147,EQUIPE!K147,EQUIPE!M147,EQUIPE!O147)</f>
        <v>300</v>
      </c>
      <c r="K147" s="25">
        <v>0</v>
      </c>
      <c r="L147" s="25">
        <v>0</v>
      </c>
      <c r="M147" s="27" t="str">
        <f ca="1">IFERROR(LEFT(
IF(INDEX('ETAPA OBRA'!C:C,MATCH($B147,'ETAPA OBRA'!$B:$B,0))="x",'ETAPA OBRA'!C$1&amp;", ","")&amp;
IF(INDEX('ETAPA OBRA'!D:D,MATCH($B147,'ETAPA OBRA'!$B:$B,0))="x",'ETAPA OBRA'!D$1&amp;", ","")&amp;
IF(INDEX('ETAPA OBRA'!F:F,MATCH($B147,'ETAPA OBRA'!$B:$B,0))="x",'ETAPA OBRA'!F$1&amp;", ","")&amp;
IF(INDEX('ETAPA OBRA'!G:G,MATCH($B147,'ETAPA OBRA'!$B:$B,0))="x",'ETAPA OBRA'!G$1&amp;", ","")&amp;
IF(INDEX('ETAPA OBRA'!H:H,MATCH($B147,'ETAPA OBRA'!$B:$B,0))="x",'ETAPA OBRA'!H$1&amp;", ","")&amp;
IF(INDEX('ETAPA OBRA'!I:I,MATCH($B147,'ETAPA OBRA'!$B:$B,0))="x",'ETAPA OBRA'!I$1&amp;", ","")&amp;
IF(INDEX('ETAPA OBRA'!J:J,MATCH($B147,'ETAPA OBRA'!$B:$B,0))="x",'ETAPA OBRA'!J$1&amp;", ","")&amp;
IF(INDEX('ETAPA OBRA'!K:K,MATCH($B147,'ETAPA OBRA'!$B:$B,0))="x",'ETAPA OBRA'!K$1&amp;", ","")&amp;
IF(INDEX('ETAPA OBRA'!L:L,MATCH($B147,'ETAPA OBRA'!$B:$B,0))="x",'ETAPA OBRA'!L$1&amp;", ","")&amp;
IF(INDEX('ETAPA OBRA'!M:M,MATCH($B147,'ETAPA OBRA'!$B:$B,0))="x",'ETAPA OBRA'!M$1&amp;", ","")&amp;
IF(INDEX('ETAPA OBRA'!N:N,MATCH($B147,'ETAPA OBRA'!$B:$B,0))="x",'ETAPA OBRA'!N$1&amp;", ","")&amp;
IF(INDEX('ETAPA OBRA'!O:O,MATCH($B147,'ETAPA OBRA'!$B:$B,0))="x",'ETAPA OBRA'!O$1&amp;", ","")&amp;
IF(INDEX('ETAPA OBRA'!P:P,MATCH($B147,'ETAPA OBRA'!$B:$B,0))="x",'ETAPA OBRA'!P$1&amp;", ","")&amp;
IF(INDEX('ETAPA OBRA'!Q:Q,MATCH($B147,'ETAPA OBRA'!$B:$B,0))="x",'ETAPA OBRA'!Q$1&amp;", ","")&amp;
IF(INDEX('ETAPA OBRA'!R:R,MATCH($B147,'ETAPA OBRA'!$B:$B,0))="x",'ETAPA OBRA'!R$1&amp;", ","")&amp;
IF(INDEX('ETAPA OBRA'!S:S,MATCH($B147,'ETAPA OBRA'!$B:$B,0))="x",'ETAPA OBRA'!S$1&amp;", ","")&amp;
IF(INDEX('ETAPA OBRA'!T:T,MATCH($B147,'ETAPA OBRA'!$B:$B,0))="x",'ETAPA OBRA'!T$1&amp;", ","")&amp;
IF(INDEX('ETAPA OBRA'!U:U,MATCH($B147,'ETAPA OBRA'!$B:$B,0))="x",'ETAPA OBRA'!U$1&amp;", ",""),LEN(
IF(INDEX('ETAPA OBRA'!C:C,MATCH($B147,'ETAPA OBRA'!$B:$B,0))="x",'ETAPA OBRA'!C$1&amp;", ","")&amp;
IF(INDEX('ETAPA OBRA'!D:D,MATCH($B147,'ETAPA OBRA'!$B:$B,0))="x",'ETAPA OBRA'!D$1&amp;", ","")&amp;
IF(INDEX('ETAPA OBRA'!F:F,MATCH($B147,'ETAPA OBRA'!$B:$B,0))="x",'ETAPA OBRA'!F$1&amp;", ","")&amp;
IF(INDEX('ETAPA OBRA'!G:G,MATCH($B147,'ETAPA OBRA'!$B:$B,0))="x",'ETAPA OBRA'!G$1&amp;", ","")&amp;
IF(INDEX('ETAPA OBRA'!H:H,MATCH($B147,'ETAPA OBRA'!$B:$B,0))="x",'ETAPA OBRA'!H$1&amp;", ","")&amp;
IF(INDEX('ETAPA OBRA'!I:I,MATCH($B147,'ETAPA OBRA'!$B:$B,0))="x",'ETAPA OBRA'!I$1&amp;", ","")&amp;
IF(INDEX('ETAPA OBRA'!J:J,MATCH($B147,'ETAPA OBRA'!$B:$B,0))="x",'ETAPA OBRA'!J$1&amp;", ","")&amp;
IF(INDEX('ETAPA OBRA'!K:K,MATCH($B147,'ETAPA OBRA'!$B:$B,0))="x",'ETAPA OBRA'!K$1&amp;", ","")&amp;
IF(INDEX('ETAPA OBRA'!L:L,MATCH($B147,'ETAPA OBRA'!$B:$B,0))="x",'ETAPA OBRA'!L$1&amp;", ","")&amp;
IF(INDEX('ETAPA OBRA'!M:M,MATCH($B147,'ETAPA OBRA'!$B:$B,0))="x",'ETAPA OBRA'!M$1&amp;", ","")&amp;
IF(INDEX('ETAPA OBRA'!N:N,MATCH($B147,'ETAPA OBRA'!$B:$B,0))="x",'ETAPA OBRA'!N$1&amp;", ","")&amp;
IF(INDEX('ETAPA OBRA'!O:O,MATCH($B147,'ETAPA OBRA'!$B:$B,0))="x",'ETAPA OBRA'!O$1&amp;", ","")&amp;
IF(INDEX('ETAPA OBRA'!P:P,MATCH($B147,'ETAPA OBRA'!$B:$B,0))="x",'ETAPA OBRA'!P$1&amp;", ","")&amp;
IF(INDEX('ETAPA OBRA'!Q:Q,MATCH($B147,'ETAPA OBRA'!$B:$B,0))="x",'ETAPA OBRA'!Q$1&amp;", ","")&amp;
IF(INDEX('ETAPA OBRA'!R:R,MATCH($B147,'ETAPA OBRA'!$B:$B,0))="x",'ETAPA OBRA'!R$1&amp;", ","")&amp;
IF(INDEX('ETAPA OBRA'!S:S,MATCH($B147,'ETAPA OBRA'!$B:$B,0))="x",'ETAPA OBRA'!S$1&amp;", ","")&amp;
IF(INDEX('ETAPA OBRA'!T:T,MATCH($B147,'ETAPA OBRA'!$B:$B,0))="x",'ETAPA OBRA'!T$1&amp;", ","")&amp;
IF(INDEX('ETAPA OBRA'!U:U,MATCH($B147,'ETAPA OBRA'!$B:$B,0))="x",'ETAPA OBRA'!U$1&amp;", ","")
)-2),"")</f>
        <v>Survey</v>
      </c>
      <c r="N147" s="23" t="str">
        <f t="shared" ca="1" si="18"/>
        <v>Em andamento</v>
      </c>
      <c r="O147" s="28">
        <v>0</v>
      </c>
      <c r="P147" s="37">
        <f t="shared" si="19"/>
        <v>300</v>
      </c>
      <c r="Q147" s="28">
        <f t="shared" si="20"/>
        <v>-300</v>
      </c>
      <c r="R147" s="29">
        <f t="shared" si="21"/>
        <v>0</v>
      </c>
      <c r="S147" s="23" t="str">
        <f t="shared" si="22"/>
        <v>⚠️ Ajustar Custos (&lt;20%)</v>
      </c>
      <c r="T147" s="23" t="str">
        <f ca="1">Cronograma[[#This Row],[STATUS]]</f>
        <v>🕓 EM ANDAMENTO</v>
      </c>
    </row>
    <row r="148" spans="1:20" ht="15" customHeight="1" x14ac:dyDescent="0.3">
      <c r="A148" s="23">
        <v>61060148</v>
      </c>
      <c r="B148" s="23" t="str">
        <f>IF(A148&lt;&gt;"","contel-"&amp;TEXT(COUNTA($A$2:A148),"00"),"")</f>
        <v>contel-147</v>
      </c>
      <c r="C148" s="23" t="s">
        <v>35</v>
      </c>
      <c r="D148" s="23" t="s">
        <v>96</v>
      </c>
      <c r="E148" s="23" t="s">
        <v>97</v>
      </c>
      <c r="F148" s="52" t="s">
        <v>452</v>
      </c>
      <c r="G148" s="23">
        <v>1931</v>
      </c>
      <c r="H148" s="30">
        <v>27854</v>
      </c>
      <c r="I148" s="23" t="s">
        <v>25</v>
      </c>
      <c r="J148" s="25">
        <f>SUM(EQUIPE!C148,EQUIPE!E148,EQUIPE!G148,EQUIPE!I148,EQUIPE!K148,EQUIPE!M148,EQUIPE!O148)</f>
        <v>400</v>
      </c>
      <c r="K148" s="25">
        <v>0</v>
      </c>
      <c r="L148" s="25">
        <v>0</v>
      </c>
      <c r="M148" s="27" t="str">
        <f ca="1">IFERROR(LEFT(
IF(INDEX('ETAPA OBRA'!C:C,MATCH($B148,'ETAPA OBRA'!$B:$B,0))="x",'ETAPA OBRA'!C$1&amp;", ","")&amp;
IF(INDEX('ETAPA OBRA'!D:D,MATCH($B148,'ETAPA OBRA'!$B:$B,0))="x",'ETAPA OBRA'!D$1&amp;", ","")&amp;
IF(INDEX('ETAPA OBRA'!F:F,MATCH($B148,'ETAPA OBRA'!$B:$B,0))="x",'ETAPA OBRA'!F$1&amp;", ","")&amp;
IF(INDEX('ETAPA OBRA'!G:G,MATCH($B148,'ETAPA OBRA'!$B:$B,0))="x",'ETAPA OBRA'!G$1&amp;", ","")&amp;
IF(INDEX('ETAPA OBRA'!H:H,MATCH($B148,'ETAPA OBRA'!$B:$B,0))="x",'ETAPA OBRA'!H$1&amp;", ","")&amp;
IF(INDEX('ETAPA OBRA'!I:I,MATCH($B148,'ETAPA OBRA'!$B:$B,0))="x",'ETAPA OBRA'!I$1&amp;", ","")&amp;
IF(INDEX('ETAPA OBRA'!J:J,MATCH($B148,'ETAPA OBRA'!$B:$B,0))="x",'ETAPA OBRA'!J$1&amp;", ","")&amp;
IF(INDEX('ETAPA OBRA'!K:K,MATCH($B148,'ETAPA OBRA'!$B:$B,0))="x",'ETAPA OBRA'!K$1&amp;", ","")&amp;
IF(INDEX('ETAPA OBRA'!L:L,MATCH($B148,'ETAPA OBRA'!$B:$B,0))="x",'ETAPA OBRA'!L$1&amp;", ","")&amp;
IF(INDEX('ETAPA OBRA'!M:M,MATCH($B148,'ETAPA OBRA'!$B:$B,0))="x",'ETAPA OBRA'!M$1&amp;", ","")&amp;
IF(INDEX('ETAPA OBRA'!N:N,MATCH($B148,'ETAPA OBRA'!$B:$B,0))="x",'ETAPA OBRA'!N$1&amp;", ","")&amp;
IF(INDEX('ETAPA OBRA'!O:O,MATCH($B148,'ETAPA OBRA'!$B:$B,0))="x",'ETAPA OBRA'!O$1&amp;", ","")&amp;
IF(INDEX('ETAPA OBRA'!P:P,MATCH($B148,'ETAPA OBRA'!$B:$B,0))="x",'ETAPA OBRA'!P$1&amp;", ","")&amp;
IF(INDEX('ETAPA OBRA'!Q:Q,MATCH($B148,'ETAPA OBRA'!$B:$B,0))="x",'ETAPA OBRA'!Q$1&amp;", ","")&amp;
IF(INDEX('ETAPA OBRA'!R:R,MATCH($B148,'ETAPA OBRA'!$B:$B,0))="x",'ETAPA OBRA'!R$1&amp;", ","")&amp;
IF(INDEX('ETAPA OBRA'!S:S,MATCH($B148,'ETAPA OBRA'!$B:$B,0))="x",'ETAPA OBRA'!S$1&amp;", ","")&amp;
IF(INDEX('ETAPA OBRA'!T:T,MATCH($B148,'ETAPA OBRA'!$B:$B,0))="x",'ETAPA OBRA'!T$1&amp;", ","")&amp;
IF(INDEX('ETAPA OBRA'!U:U,MATCH($B148,'ETAPA OBRA'!$B:$B,0))="x",'ETAPA OBRA'!U$1&amp;", ",""),LEN(
IF(INDEX('ETAPA OBRA'!C:C,MATCH($B148,'ETAPA OBRA'!$B:$B,0))="x",'ETAPA OBRA'!C$1&amp;", ","")&amp;
IF(INDEX('ETAPA OBRA'!D:D,MATCH($B148,'ETAPA OBRA'!$B:$B,0))="x",'ETAPA OBRA'!D$1&amp;", ","")&amp;
IF(INDEX('ETAPA OBRA'!F:F,MATCH($B148,'ETAPA OBRA'!$B:$B,0))="x",'ETAPA OBRA'!F$1&amp;", ","")&amp;
IF(INDEX('ETAPA OBRA'!G:G,MATCH($B148,'ETAPA OBRA'!$B:$B,0))="x",'ETAPA OBRA'!G$1&amp;", ","")&amp;
IF(INDEX('ETAPA OBRA'!H:H,MATCH($B148,'ETAPA OBRA'!$B:$B,0))="x",'ETAPA OBRA'!H$1&amp;", ","")&amp;
IF(INDEX('ETAPA OBRA'!I:I,MATCH($B148,'ETAPA OBRA'!$B:$B,0))="x",'ETAPA OBRA'!I$1&amp;", ","")&amp;
IF(INDEX('ETAPA OBRA'!J:J,MATCH($B148,'ETAPA OBRA'!$B:$B,0))="x",'ETAPA OBRA'!J$1&amp;", ","")&amp;
IF(INDEX('ETAPA OBRA'!K:K,MATCH($B148,'ETAPA OBRA'!$B:$B,0))="x",'ETAPA OBRA'!K$1&amp;", ","")&amp;
IF(INDEX('ETAPA OBRA'!L:L,MATCH($B148,'ETAPA OBRA'!$B:$B,0))="x",'ETAPA OBRA'!L$1&amp;", ","")&amp;
IF(INDEX('ETAPA OBRA'!M:M,MATCH($B148,'ETAPA OBRA'!$B:$B,0))="x",'ETAPA OBRA'!M$1&amp;", ","")&amp;
IF(INDEX('ETAPA OBRA'!N:N,MATCH($B148,'ETAPA OBRA'!$B:$B,0))="x",'ETAPA OBRA'!N$1&amp;", ","")&amp;
IF(INDEX('ETAPA OBRA'!O:O,MATCH($B148,'ETAPA OBRA'!$B:$B,0))="x",'ETAPA OBRA'!O$1&amp;", ","")&amp;
IF(INDEX('ETAPA OBRA'!P:P,MATCH($B148,'ETAPA OBRA'!$B:$B,0))="x",'ETAPA OBRA'!P$1&amp;", ","")&amp;
IF(INDEX('ETAPA OBRA'!Q:Q,MATCH($B148,'ETAPA OBRA'!$B:$B,0))="x",'ETAPA OBRA'!Q$1&amp;", ","")&amp;
IF(INDEX('ETAPA OBRA'!R:R,MATCH($B148,'ETAPA OBRA'!$B:$B,0))="x",'ETAPA OBRA'!R$1&amp;", ","")&amp;
IF(INDEX('ETAPA OBRA'!S:S,MATCH($B148,'ETAPA OBRA'!$B:$B,0))="x",'ETAPA OBRA'!S$1&amp;", ","")&amp;
IF(INDEX('ETAPA OBRA'!T:T,MATCH($B148,'ETAPA OBRA'!$B:$B,0))="x",'ETAPA OBRA'!T$1&amp;", ","")&amp;
IF(INDEX('ETAPA OBRA'!U:U,MATCH($B148,'ETAPA OBRA'!$B:$B,0))="x",'ETAPA OBRA'!U$1&amp;", ","")
)-2),"")</f>
        <v>Projeto</v>
      </c>
      <c r="N148" s="23" t="str">
        <f t="shared" ca="1" si="18"/>
        <v>Em andamento</v>
      </c>
      <c r="O148" s="28">
        <v>8784.5</v>
      </c>
      <c r="P148" s="37">
        <f t="shared" si="19"/>
        <v>400</v>
      </c>
      <c r="Q148" s="28">
        <f t="shared" si="20"/>
        <v>8384.5</v>
      </c>
      <c r="R148" s="29">
        <f t="shared" si="21"/>
        <v>0.95446525129489446</v>
      </c>
      <c r="S148" s="23" t="str">
        <f t="shared" si="22"/>
        <v>✅ OK - Fechar Parceiro</v>
      </c>
      <c r="T148" s="23" t="str">
        <f ca="1">Cronograma[[#This Row],[STATUS]]</f>
        <v>🕓 EM ANDAMENTO</v>
      </c>
    </row>
    <row r="149" spans="1:20" ht="15" customHeight="1" x14ac:dyDescent="0.3">
      <c r="A149" s="23" t="s">
        <v>453</v>
      </c>
      <c r="B149" s="23" t="str">
        <f>IF(A149&lt;&gt;"","contel-"&amp;TEXT(COUNTA($A$2:A149),"00"),"")</f>
        <v>contel-148</v>
      </c>
      <c r="C149" s="23" t="s">
        <v>78</v>
      </c>
      <c r="D149" s="23" t="s">
        <v>454</v>
      </c>
      <c r="E149" s="23" t="s">
        <v>88</v>
      </c>
      <c r="F149" s="52" t="s">
        <v>455</v>
      </c>
      <c r="G149" s="23">
        <v>1930</v>
      </c>
      <c r="H149" s="30">
        <v>27841</v>
      </c>
      <c r="I149" s="23" t="s">
        <v>34</v>
      </c>
      <c r="J149" s="25">
        <f>SUM(EQUIPE!C149,EQUIPE!E149,EQUIPE!G149,EQUIPE!I149,EQUIPE!K149,EQUIPE!M149,EQUIPE!O149)</f>
        <v>11000</v>
      </c>
      <c r="K149" s="25">
        <v>0</v>
      </c>
      <c r="L149" s="25">
        <v>0</v>
      </c>
      <c r="M149" s="27" t="str">
        <f ca="1">IFERROR(LEFT(
IF(INDEX('ETAPA OBRA'!C:C,MATCH($B149,'ETAPA OBRA'!$B:$B,0))="x",'ETAPA OBRA'!C$1&amp;", ","")&amp;
IF(INDEX('ETAPA OBRA'!D:D,MATCH($B149,'ETAPA OBRA'!$B:$B,0))="x",'ETAPA OBRA'!D$1&amp;", ","")&amp;
IF(INDEX('ETAPA OBRA'!F:F,MATCH($B149,'ETAPA OBRA'!$B:$B,0))="x",'ETAPA OBRA'!F$1&amp;", ","")&amp;
IF(INDEX('ETAPA OBRA'!G:G,MATCH($B149,'ETAPA OBRA'!$B:$B,0))="x",'ETAPA OBRA'!G$1&amp;", ","")&amp;
IF(INDEX('ETAPA OBRA'!H:H,MATCH($B149,'ETAPA OBRA'!$B:$B,0))="x",'ETAPA OBRA'!H$1&amp;", ","")&amp;
IF(INDEX('ETAPA OBRA'!I:I,MATCH($B149,'ETAPA OBRA'!$B:$B,0))="x",'ETAPA OBRA'!I$1&amp;", ","")&amp;
IF(INDEX('ETAPA OBRA'!J:J,MATCH($B149,'ETAPA OBRA'!$B:$B,0))="x",'ETAPA OBRA'!J$1&amp;", ","")&amp;
IF(INDEX('ETAPA OBRA'!K:K,MATCH($B149,'ETAPA OBRA'!$B:$B,0))="x",'ETAPA OBRA'!K$1&amp;", ","")&amp;
IF(INDEX('ETAPA OBRA'!L:L,MATCH($B149,'ETAPA OBRA'!$B:$B,0))="x",'ETAPA OBRA'!L$1&amp;", ","")&amp;
IF(INDEX('ETAPA OBRA'!M:M,MATCH($B149,'ETAPA OBRA'!$B:$B,0))="x",'ETAPA OBRA'!M$1&amp;", ","")&amp;
IF(INDEX('ETAPA OBRA'!N:N,MATCH($B149,'ETAPA OBRA'!$B:$B,0))="x",'ETAPA OBRA'!N$1&amp;", ","")&amp;
IF(INDEX('ETAPA OBRA'!O:O,MATCH($B149,'ETAPA OBRA'!$B:$B,0))="x",'ETAPA OBRA'!O$1&amp;", ","")&amp;
IF(INDEX('ETAPA OBRA'!P:P,MATCH($B149,'ETAPA OBRA'!$B:$B,0))="x",'ETAPA OBRA'!P$1&amp;", ","")&amp;
IF(INDEX('ETAPA OBRA'!Q:Q,MATCH($B149,'ETAPA OBRA'!$B:$B,0))="x",'ETAPA OBRA'!Q$1&amp;", ","")&amp;
IF(INDEX('ETAPA OBRA'!R:R,MATCH($B149,'ETAPA OBRA'!$B:$B,0))="x",'ETAPA OBRA'!R$1&amp;", ","")&amp;
IF(INDEX('ETAPA OBRA'!S:S,MATCH($B149,'ETAPA OBRA'!$B:$B,0))="x",'ETAPA OBRA'!S$1&amp;", ","")&amp;
IF(INDEX('ETAPA OBRA'!T:T,MATCH($B149,'ETAPA OBRA'!$B:$B,0))="x",'ETAPA OBRA'!T$1&amp;", ","")&amp;
IF(INDEX('ETAPA OBRA'!U:U,MATCH($B149,'ETAPA OBRA'!$B:$B,0))="x",'ETAPA OBRA'!U$1&amp;", ",""),LEN(
IF(INDEX('ETAPA OBRA'!C:C,MATCH($B149,'ETAPA OBRA'!$B:$B,0))="x",'ETAPA OBRA'!C$1&amp;", ","")&amp;
IF(INDEX('ETAPA OBRA'!D:D,MATCH($B149,'ETAPA OBRA'!$B:$B,0))="x",'ETAPA OBRA'!D$1&amp;", ","")&amp;
IF(INDEX('ETAPA OBRA'!F:F,MATCH($B149,'ETAPA OBRA'!$B:$B,0))="x",'ETAPA OBRA'!F$1&amp;", ","")&amp;
IF(INDEX('ETAPA OBRA'!G:G,MATCH($B149,'ETAPA OBRA'!$B:$B,0))="x",'ETAPA OBRA'!G$1&amp;", ","")&amp;
IF(INDEX('ETAPA OBRA'!H:H,MATCH($B149,'ETAPA OBRA'!$B:$B,0))="x",'ETAPA OBRA'!H$1&amp;", ","")&amp;
IF(INDEX('ETAPA OBRA'!I:I,MATCH($B149,'ETAPA OBRA'!$B:$B,0))="x",'ETAPA OBRA'!I$1&amp;", ","")&amp;
IF(INDEX('ETAPA OBRA'!J:J,MATCH($B149,'ETAPA OBRA'!$B:$B,0))="x",'ETAPA OBRA'!J$1&amp;", ","")&amp;
IF(INDEX('ETAPA OBRA'!K:K,MATCH($B149,'ETAPA OBRA'!$B:$B,0))="x",'ETAPA OBRA'!K$1&amp;", ","")&amp;
IF(INDEX('ETAPA OBRA'!L:L,MATCH($B149,'ETAPA OBRA'!$B:$B,0))="x",'ETAPA OBRA'!L$1&amp;", ","")&amp;
IF(INDEX('ETAPA OBRA'!M:M,MATCH($B149,'ETAPA OBRA'!$B:$B,0))="x",'ETAPA OBRA'!M$1&amp;", ","")&amp;
IF(INDEX('ETAPA OBRA'!N:N,MATCH($B149,'ETAPA OBRA'!$B:$B,0))="x",'ETAPA OBRA'!N$1&amp;", ","")&amp;
IF(INDEX('ETAPA OBRA'!O:O,MATCH($B149,'ETAPA OBRA'!$B:$B,0))="x",'ETAPA OBRA'!O$1&amp;", ","")&amp;
IF(INDEX('ETAPA OBRA'!P:P,MATCH($B149,'ETAPA OBRA'!$B:$B,0))="x",'ETAPA OBRA'!P$1&amp;", ","")&amp;
IF(INDEX('ETAPA OBRA'!Q:Q,MATCH($B149,'ETAPA OBRA'!$B:$B,0))="x",'ETAPA OBRA'!Q$1&amp;", ","")&amp;
IF(INDEX('ETAPA OBRA'!R:R,MATCH($B149,'ETAPA OBRA'!$B:$B,0))="x",'ETAPA OBRA'!R$1&amp;", ","")&amp;
IF(INDEX('ETAPA OBRA'!S:S,MATCH($B149,'ETAPA OBRA'!$B:$B,0))="x",'ETAPA OBRA'!S$1&amp;", ","")&amp;
IF(INDEX('ETAPA OBRA'!T:T,MATCH($B149,'ETAPA OBRA'!$B:$B,0))="x",'ETAPA OBRA'!T$1&amp;", ","")&amp;
IF(INDEX('ETAPA OBRA'!U:U,MATCH($B149,'ETAPA OBRA'!$B:$B,0))="x",'ETAPA OBRA'!U$1&amp;", ","")
)-2),"")</f>
        <v>Execução</v>
      </c>
      <c r="N149" s="23" t="str">
        <f t="shared" ca="1" si="18"/>
        <v>Em andamento</v>
      </c>
      <c r="O149" s="28">
        <v>35045.14</v>
      </c>
      <c r="P149" s="37">
        <f t="shared" si="19"/>
        <v>11000</v>
      </c>
      <c r="Q149" s="28">
        <f t="shared" si="20"/>
        <v>24045.14</v>
      </c>
      <c r="R149" s="29">
        <f t="shared" si="21"/>
        <v>0.68611910239194362</v>
      </c>
      <c r="S149" s="23" t="str">
        <f t="shared" si="22"/>
        <v>✅ OK - Fechar Parceiro</v>
      </c>
      <c r="T149" s="23" t="str">
        <f ca="1">Cronograma[[#This Row],[STATUS]]</f>
        <v>🕓 EM ANDAMENTO</v>
      </c>
    </row>
    <row r="150" spans="1:20" ht="15" customHeight="1" x14ac:dyDescent="0.3">
      <c r="A150" s="23" t="s">
        <v>456</v>
      </c>
      <c r="B150" s="23" t="str">
        <f>IF(A150&lt;&gt;"","contel-"&amp;TEXT(COUNTA($A$2:A150),"00"),"")</f>
        <v>contel-149</v>
      </c>
      <c r="C150" s="23" t="s">
        <v>120</v>
      </c>
      <c r="D150" s="23" t="s">
        <v>457</v>
      </c>
      <c r="E150" s="23" t="s">
        <v>302</v>
      </c>
      <c r="F150" s="52" t="s">
        <v>458</v>
      </c>
      <c r="G150" s="23">
        <v>1844</v>
      </c>
      <c r="H150" s="30">
        <v>3528</v>
      </c>
      <c r="I150" s="23" t="s">
        <v>297</v>
      </c>
      <c r="J150" s="25">
        <f>SUM(EQUIPE!C150,EQUIPE!E150,EQUIPE!G150,EQUIPE!I150,EQUIPE!K150,EQUIPE!M150,EQUIPE!O150)</f>
        <v>6700</v>
      </c>
      <c r="K150" s="25">
        <v>0</v>
      </c>
      <c r="L150" s="25">
        <v>0</v>
      </c>
      <c r="M150" s="27" t="str">
        <f ca="1">IFERROR(LEFT(
IF(INDEX('ETAPA OBRA'!C:C,MATCH($B150,'ETAPA OBRA'!$B:$B,0))="x",'ETAPA OBRA'!C$1&amp;", ","")&amp;
IF(INDEX('ETAPA OBRA'!D:D,MATCH($B150,'ETAPA OBRA'!$B:$B,0))="x",'ETAPA OBRA'!D$1&amp;", ","")&amp;
IF(INDEX('ETAPA OBRA'!F:F,MATCH($B150,'ETAPA OBRA'!$B:$B,0))="x",'ETAPA OBRA'!F$1&amp;", ","")&amp;
IF(INDEX('ETAPA OBRA'!G:G,MATCH($B150,'ETAPA OBRA'!$B:$B,0))="x",'ETAPA OBRA'!G$1&amp;", ","")&amp;
IF(INDEX('ETAPA OBRA'!H:H,MATCH($B150,'ETAPA OBRA'!$B:$B,0))="x",'ETAPA OBRA'!H$1&amp;", ","")&amp;
IF(INDEX('ETAPA OBRA'!I:I,MATCH($B150,'ETAPA OBRA'!$B:$B,0))="x",'ETAPA OBRA'!I$1&amp;", ","")&amp;
IF(INDEX('ETAPA OBRA'!J:J,MATCH($B150,'ETAPA OBRA'!$B:$B,0))="x",'ETAPA OBRA'!J$1&amp;", ","")&amp;
IF(INDEX('ETAPA OBRA'!K:K,MATCH($B150,'ETAPA OBRA'!$B:$B,0))="x",'ETAPA OBRA'!K$1&amp;", ","")&amp;
IF(INDEX('ETAPA OBRA'!L:L,MATCH($B150,'ETAPA OBRA'!$B:$B,0))="x",'ETAPA OBRA'!L$1&amp;", ","")&amp;
IF(INDEX('ETAPA OBRA'!M:M,MATCH($B150,'ETAPA OBRA'!$B:$B,0))="x",'ETAPA OBRA'!M$1&amp;", ","")&amp;
IF(INDEX('ETAPA OBRA'!N:N,MATCH($B150,'ETAPA OBRA'!$B:$B,0))="x",'ETAPA OBRA'!N$1&amp;", ","")&amp;
IF(INDEX('ETAPA OBRA'!O:O,MATCH($B150,'ETAPA OBRA'!$B:$B,0))="x",'ETAPA OBRA'!O$1&amp;", ","")&amp;
IF(INDEX('ETAPA OBRA'!P:P,MATCH($B150,'ETAPA OBRA'!$B:$B,0))="x",'ETAPA OBRA'!P$1&amp;", ","")&amp;
IF(INDEX('ETAPA OBRA'!Q:Q,MATCH($B150,'ETAPA OBRA'!$B:$B,0))="x",'ETAPA OBRA'!Q$1&amp;", ","")&amp;
IF(INDEX('ETAPA OBRA'!R:R,MATCH($B150,'ETAPA OBRA'!$B:$B,0))="x",'ETAPA OBRA'!R$1&amp;", ","")&amp;
IF(INDEX('ETAPA OBRA'!S:S,MATCH($B150,'ETAPA OBRA'!$B:$B,0))="x",'ETAPA OBRA'!S$1&amp;", ","")&amp;
IF(INDEX('ETAPA OBRA'!T:T,MATCH($B150,'ETAPA OBRA'!$B:$B,0))="x",'ETAPA OBRA'!T$1&amp;", ","")&amp;
IF(INDEX('ETAPA OBRA'!U:U,MATCH($B150,'ETAPA OBRA'!$B:$B,0))="x",'ETAPA OBRA'!U$1&amp;", ",""),LEN(
IF(INDEX('ETAPA OBRA'!C:C,MATCH($B150,'ETAPA OBRA'!$B:$B,0))="x",'ETAPA OBRA'!C$1&amp;", ","")&amp;
IF(INDEX('ETAPA OBRA'!D:D,MATCH($B150,'ETAPA OBRA'!$B:$B,0))="x",'ETAPA OBRA'!D$1&amp;", ","")&amp;
IF(INDEX('ETAPA OBRA'!F:F,MATCH($B150,'ETAPA OBRA'!$B:$B,0))="x",'ETAPA OBRA'!F$1&amp;", ","")&amp;
IF(INDEX('ETAPA OBRA'!G:G,MATCH($B150,'ETAPA OBRA'!$B:$B,0))="x",'ETAPA OBRA'!G$1&amp;", ","")&amp;
IF(INDEX('ETAPA OBRA'!H:H,MATCH($B150,'ETAPA OBRA'!$B:$B,0))="x",'ETAPA OBRA'!H$1&amp;", ","")&amp;
IF(INDEX('ETAPA OBRA'!I:I,MATCH($B150,'ETAPA OBRA'!$B:$B,0))="x",'ETAPA OBRA'!I$1&amp;", ","")&amp;
IF(INDEX('ETAPA OBRA'!J:J,MATCH($B150,'ETAPA OBRA'!$B:$B,0))="x",'ETAPA OBRA'!J$1&amp;", ","")&amp;
IF(INDEX('ETAPA OBRA'!K:K,MATCH($B150,'ETAPA OBRA'!$B:$B,0))="x",'ETAPA OBRA'!K$1&amp;", ","")&amp;
IF(INDEX('ETAPA OBRA'!L:L,MATCH($B150,'ETAPA OBRA'!$B:$B,0))="x",'ETAPA OBRA'!L$1&amp;", ","")&amp;
IF(INDEX('ETAPA OBRA'!M:M,MATCH($B150,'ETAPA OBRA'!$B:$B,0))="x",'ETAPA OBRA'!M$1&amp;", ","")&amp;
IF(INDEX('ETAPA OBRA'!N:N,MATCH($B150,'ETAPA OBRA'!$B:$B,0))="x",'ETAPA OBRA'!N$1&amp;", ","")&amp;
IF(INDEX('ETAPA OBRA'!O:O,MATCH($B150,'ETAPA OBRA'!$B:$B,0))="x",'ETAPA OBRA'!O$1&amp;", ","")&amp;
IF(INDEX('ETAPA OBRA'!P:P,MATCH($B150,'ETAPA OBRA'!$B:$B,0))="x",'ETAPA OBRA'!P$1&amp;", ","")&amp;
IF(INDEX('ETAPA OBRA'!Q:Q,MATCH($B150,'ETAPA OBRA'!$B:$B,0))="x",'ETAPA OBRA'!Q$1&amp;", ","")&amp;
IF(INDEX('ETAPA OBRA'!R:R,MATCH($B150,'ETAPA OBRA'!$B:$B,0))="x",'ETAPA OBRA'!R$1&amp;", ","")&amp;
IF(INDEX('ETAPA OBRA'!S:S,MATCH($B150,'ETAPA OBRA'!$B:$B,0))="x",'ETAPA OBRA'!S$1&amp;", ","")&amp;
IF(INDEX('ETAPA OBRA'!T:T,MATCH($B150,'ETAPA OBRA'!$B:$B,0))="x",'ETAPA OBRA'!T$1&amp;", ","")&amp;
IF(INDEX('ETAPA OBRA'!U:U,MATCH($B150,'ETAPA OBRA'!$B:$B,0))="x",'ETAPA OBRA'!U$1&amp;", ","")
)-2),"")</f>
        <v>Execução</v>
      </c>
      <c r="N150" s="23" t="str">
        <f t="shared" ca="1" si="18"/>
        <v>Em andamento</v>
      </c>
      <c r="O150" s="28">
        <v>11891.4</v>
      </c>
      <c r="P150" s="37">
        <f t="shared" si="19"/>
        <v>6700</v>
      </c>
      <c r="Q150" s="28">
        <f t="shared" si="20"/>
        <v>5191.3999999999996</v>
      </c>
      <c r="R150" s="29">
        <f t="shared" si="21"/>
        <v>0.43656760347814383</v>
      </c>
      <c r="S150" s="23" t="str">
        <f t="shared" si="22"/>
        <v>✅ OK - Fechar Parceiro</v>
      </c>
      <c r="T150" s="23" t="str">
        <f ca="1">Cronograma[[#This Row],[STATUS]]</f>
        <v>🕓 EM ANDAMENTO</v>
      </c>
    </row>
    <row r="151" spans="1:20" ht="15" customHeight="1" x14ac:dyDescent="0.3">
      <c r="A151" s="23">
        <v>22080028</v>
      </c>
      <c r="B151" s="23" t="str">
        <f>IF(A151&lt;&gt;"","contel-"&amp;TEXT(COUNTA($A$2:A151),"00"),"")</f>
        <v>contel-150</v>
      </c>
      <c r="C151" s="23" t="s">
        <v>35</v>
      </c>
      <c r="D151" s="23" t="s">
        <v>372</v>
      </c>
      <c r="E151" s="23" t="s">
        <v>309</v>
      </c>
      <c r="F151" s="52" t="s">
        <v>459</v>
      </c>
      <c r="G151" s="23">
        <v>1697</v>
      </c>
      <c r="H151" s="30">
        <v>12761</v>
      </c>
      <c r="I151" s="23" t="s">
        <v>63</v>
      </c>
      <c r="J151" s="25">
        <f>SUM(EQUIPE!C151,EQUIPE!E151,EQUIPE!G151,EQUIPE!I151,EQUIPE!K151,EQUIPE!M151,EQUIPE!O151)</f>
        <v>36167.5</v>
      </c>
      <c r="K151" s="25">
        <v>9075.3700000000008</v>
      </c>
      <c r="L151" s="25">
        <v>2678.99</v>
      </c>
      <c r="M151" s="27" t="str">
        <f>IFERROR(LEFT(
IF(INDEX('ETAPA OBRA'!C:C,MATCH($B151,'ETAPA OBRA'!$B:$B,0))="x",'ETAPA OBRA'!C$1&amp;", ","")&amp;
IF(INDEX('ETAPA OBRA'!D:D,MATCH($B151,'ETAPA OBRA'!$B:$B,0))="x",'ETAPA OBRA'!D$1&amp;", ","")&amp;
IF(INDEX('ETAPA OBRA'!F:F,MATCH($B151,'ETAPA OBRA'!$B:$B,0))="x",'ETAPA OBRA'!F$1&amp;", ","")&amp;
IF(INDEX('ETAPA OBRA'!G:G,MATCH($B151,'ETAPA OBRA'!$B:$B,0))="x",'ETAPA OBRA'!G$1&amp;", ","")&amp;
IF(INDEX('ETAPA OBRA'!H:H,MATCH($B151,'ETAPA OBRA'!$B:$B,0))="x",'ETAPA OBRA'!H$1&amp;", ","")&amp;
IF(INDEX('ETAPA OBRA'!I:I,MATCH($B151,'ETAPA OBRA'!$B:$B,0))="x",'ETAPA OBRA'!I$1&amp;", ","")&amp;
IF(INDEX('ETAPA OBRA'!J:J,MATCH($B151,'ETAPA OBRA'!$B:$B,0))="x",'ETAPA OBRA'!J$1&amp;", ","")&amp;
IF(INDEX('ETAPA OBRA'!K:K,MATCH($B151,'ETAPA OBRA'!$B:$B,0))="x",'ETAPA OBRA'!K$1&amp;", ","")&amp;
IF(INDEX('ETAPA OBRA'!L:L,MATCH($B151,'ETAPA OBRA'!$B:$B,0))="x",'ETAPA OBRA'!L$1&amp;", ","")&amp;
IF(INDEX('ETAPA OBRA'!M:M,MATCH($B151,'ETAPA OBRA'!$B:$B,0))="x",'ETAPA OBRA'!M$1&amp;", ","")&amp;
IF(INDEX('ETAPA OBRA'!N:N,MATCH($B151,'ETAPA OBRA'!$B:$B,0))="x",'ETAPA OBRA'!N$1&amp;", ","")&amp;
IF(INDEX('ETAPA OBRA'!O:O,MATCH($B151,'ETAPA OBRA'!$B:$B,0))="x",'ETAPA OBRA'!O$1&amp;", ","")&amp;
IF(INDEX('ETAPA OBRA'!P:P,MATCH($B151,'ETAPA OBRA'!$B:$B,0))="x",'ETAPA OBRA'!P$1&amp;", ","")&amp;
IF(INDEX('ETAPA OBRA'!Q:Q,MATCH($B151,'ETAPA OBRA'!$B:$B,0))="x",'ETAPA OBRA'!Q$1&amp;", ","")&amp;
IF(INDEX('ETAPA OBRA'!R:R,MATCH($B151,'ETAPA OBRA'!$B:$B,0))="x",'ETAPA OBRA'!R$1&amp;", ","")&amp;
IF(INDEX('ETAPA OBRA'!S:S,MATCH($B151,'ETAPA OBRA'!$B:$B,0))="x",'ETAPA OBRA'!S$1&amp;", ","")&amp;
IF(INDEX('ETAPA OBRA'!T:T,MATCH($B151,'ETAPA OBRA'!$B:$B,0))="x",'ETAPA OBRA'!T$1&amp;", ","")&amp;
IF(INDEX('ETAPA OBRA'!U:U,MATCH($B151,'ETAPA OBRA'!$B:$B,0))="x",'ETAPA OBRA'!U$1&amp;", ",""),LEN(
IF(INDEX('ETAPA OBRA'!C:C,MATCH($B151,'ETAPA OBRA'!$B:$B,0))="x",'ETAPA OBRA'!C$1&amp;", ","")&amp;
IF(INDEX('ETAPA OBRA'!D:D,MATCH($B151,'ETAPA OBRA'!$B:$B,0))="x",'ETAPA OBRA'!D$1&amp;", ","")&amp;
IF(INDEX('ETAPA OBRA'!F:F,MATCH($B151,'ETAPA OBRA'!$B:$B,0))="x",'ETAPA OBRA'!F$1&amp;", ","")&amp;
IF(INDEX('ETAPA OBRA'!G:G,MATCH($B151,'ETAPA OBRA'!$B:$B,0))="x",'ETAPA OBRA'!G$1&amp;", ","")&amp;
IF(INDEX('ETAPA OBRA'!H:H,MATCH($B151,'ETAPA OBRA'!$B:$B,0))="x",'ETAPA OBRA'!H$1&amp;", ","")&amp;
IF(INDEX('ETAPA OBRA'!I:I,MATCH($B151,'ETAPA OBRA'!$B:$B,0))="x",'ETAPA OBRA'!I$1&amp;", ","")&amp;
IF(INDEX('ETAPA OBRA'!J:J,MATCH($B151,'ETAPA OBRA'!$B:$B,0))="x",'ETAPA OBRA'!J$1&amp;", ","")&amp;
IF(INDEX('ETAPA OBRA'!K:K,MATCH($B151,'ETAPA OBRA'!$B:$B,0))="x",'ETAPA OBRA'!K$1&amp;", ","")&amp;
IF(INDEX('ETAPA OBRA'!L:L,MATCH($B151,'ETAPA OBRA'!$B:$B,0))="x",'ETAPA OBRA'!L$1&amp;", ","")&amp;
IF(INDEX('ETAPA OBRA'!M:M,MATCH($B151,'ETAPA OBRA'!$B:$B,0))="x",'ETAPA OBRA'!M$1&amp;", ","")&amp;
IF(INDEX('ETAPA OBRA'!N:N,MATCH($B151,'ETAPA OBRA'!$B:$B,0))="x",'ETAPA OBRA'!N$1&amp;", ","")&amp;
IF(INDEX('ETAPA OBRA'!O:O,MATCH($B151,'ETAPA OBRA'!$B:$B,0))="x",'ETAPA OBRA'!O$1&amp;", ","")&amp;
IF(INDEX('ETAPA OBRA'!P:P,MATCH($B151,'ETAPA OBRA'!$B:$B,0))="x",'ETAPA OBRA'!P$1&amp;", ","")&amp;
IF(INDEX('ETAPA OBRA'!Q:Q,MATCH($B151,'ETAPA OBRA'!$B:$B,0))="x",'ETAPA OBRA'!Q$1&amp;", ","")&amp;
IF(INDEX('ETAPA OBRA'!R:R,MATCH($B151,'ETAPA OBRA'!$B:$B,0))="x",'ETAPA OBRA'!R$1&amp;", ","")&amp;
IF(INDEX('ETAPA OBRA'!S:S,MATCH($B151,'ETAPA OBRA'!$B:$B,0))="x",'ETAPA OBRA'!S$1&amp;", ","")&amp;
IF(INDEX('ETAPA OBRA'!T:T,MATCH($B151,'ETAPA OBRA'!$B:$B,0))="x",'ETAPA OBRA'!T$1&amp;", ","")&amp;
IF(INDEX('ETAPA OBRA'!U:U,MATCH($B151,'ETAPA OBRA'!$B:$B,0))="x",'ETAPA OBRA'!U$1&amp;", ","")
)-2),"")</f>
        <v>Finalizado</v>
      </c>
      <c r="N151" s="23" t="str">
        <f t="shared" si="18"/>
        <v>Finalizado</v>
      </c>
      <c r="O151" s="28">
        <v>120326.8</v>
      </c>
      <c r="P151" s="37">
        <f t="shared" si="19"/>
        <v>47921.86</v>
      </c>
      <c r="Q151" s="28">
        <f t="shared" si="20"/>
        <v>72404.94</v>
      </c>
      <c r="R151" s="29">
        <f t="shared" si="21"/>
        <v>0.60173577291177027</v>
      </c>
      <c r="S151" s="23" t="str">
        <f t="shared" si="22"/>
        <v>✅ OK - Fechar Parceiro</v>
      </c>
      <c r="T151" s="23" t="str">
        <f>Cronograma[[#This Row],[STATUS]]</f>
        <v>✅ CONCLUÍDO</v>
      </c>
    </row>
    <row r="152" spans="1:20" ht="15" customHeight="1" x14ac:dyDescent="0.3">
      <c r="A152" s="23" t="s">
        <v>460</v>
      </c>
      <c r="B152" s="23" t="str">
        <f>IF(A152&lt;&gt;"","contel-"&amp;TEXT(COUNTA($A$2:A152),"00"),"")</f>
        <v>contel-151</v>
      </c>
      <c r="C152" s="23" t="s">
        <v>78</v>
      </c>
      <c r="D152" s="23" t="s">
        <v>461</v>
      </c>
      <c r="E152" s="23" t="s">
        <v>93</v>
      </c>
      <c r="F152" s="52" t="s">
        <v>462</v>
      </c>
      <c r="G152" s="23">
        <v>1943</v>
      </c>
      <c r="H152" s="30">
        <v>27878</v>
      </c>
      <c r="I152" s="23" t="s">
        <v>34</v>
      </c>
      <c r="J152" s="25">
        <f>SUM(EQUIPE!C152,EQUIPE!E152,EQUIPE!G152,EQUIPE!I152,EQUIPE!K152,EQUIPE!M152,EQUIPE!O152)</f>
        <v>22000</v>
      </c>
      <c r="K152" s="25">
        <v>0</v>
      </c>
      <c r="L152" s="25">
        <v>0</v>
      </c>
      <c r="M152" s="27" t="str">
        <f ca="1">IFERROR(LEFT(
IF(INDEX('ETAPA OBRA'!C:C,MATCH($B152,'ETAPA OBRA'!$B:$B,0))="x",'ETAPA OBRA'!C$1&amp;", ","")&amp;
IF(INDEX('ETAPA OBRA'!D:D,MATCH($B152,'ETAPA OBRA'!$B:$B,0))="x",'ETAPA OBRA'!D$1&amp;", ","")&amp;
IF(INDEX('ETAPA OBRA'!F:F,MATCH($B152,'ETAPA OBRA'!$B:$B,0))="x",'ETAPA OBRA'!F$1&amp;", ","")&amp;
IF(INDEX('ETAPA OBRA'!G:G,MATCH($B152,'ETAPA OBRA'!$B:$B,0))="x",'ETAPA OBRA'!G$1&amp;", ","")&amp;
IF(INDEX('ETAPA OBRA'!H:H,MATCH($B152,'ETAPA OBRA'!$B:$B,0))="x",'ETAPA OBRA'!H$1&amp;", ","")&amp;
IF(INDEX('ETAPA OBRA'!I:I,MATCH($B152,'ETAPA OBRA'!$B:$B,0))="x",'ETAPA OBRA'!I$1&amp;", ","")&amp;
IF(INDEX('ETAPA OBRA'!J:J,MATCH($B152,'ETAPA OBRA'!$B:$B,0))="x",'ETAPA OBRA'!J$1&amp;", ","")&amp;
IF(INDEX('ETAPA OBRA'!K:K,MATCH($B152,'ETAPA OBRA'!$B:$B,0))="x",'ETAPA OBRA'!K$1&amp;", ","")&amp;
IF(INDEX('ETAPA OBRA'!L:L,MATCH($B152,'ETAPA OBRA'!$B:$B,0))="x",'ETAPA OBRA'!L$1&amp;", ","")&amp;
IF(INDEX('ETAPA OBRA'!M:M,MATCH($B152,'ETAPA OBRA'!$B:$B,0))="x",'ETAPA OBRA'!M$1&amp;", ","")&amp;
IF(INDEX('ETAPA OBRA'!N:N,MATCH($B152,'ETAPA OBRA'!$B:$B,0))="x",'ETAPA OBRA'!N$1&amp;", ","")&amp;
IF(INDEX('ETAPA OBRA'!O:O,MATCH($B152,'ETAPA OBRA'!$B:$B,0))="x",'ETAPA OBRA'!O$1&amp;", ","")&amp;
IF(INDEX('ETAPA OBRA'!P:P,MATCH($B152,'ETAPA OBRA'!$B:$B,0))="x",'ETAPA OBRA'!P$1&amp;", ","")&amp;
IF(INDEX('ETAPA OBRA'!Q:Q,MATCH($B152,'ETAPA OBRA'!$B:$B,0))="x",'ETAPA OBRA'!Q$1&amp;", ","")&amp;
IF(INDEX('ETAPA OBRA'!R:R,MATCH($B152,'ETAPA OBRA'!$B:$B,0))="x",'ETAPA OBRA'!R$1&amp;", ","")&amp;
IF(INDEX('ETAPA OBRA'!S:S,MATCH($B152,'ETAPA OBRA'!$B:$B,0))="x",'ETAPA OBRA'!S$1&amp;", ","")&amp;
IF(INDEX('ETAPA OBRA'!T:T,MATCH($B152,'ETAPA OBRA'!$B:$B,0))="x",'ETAPA OBRA'!T$1&amp;", ","")&amp;
IF(INDEX('ETAPA OBRA'!U:U,MATCH($B152,'ETAPA OBRA'!$B:$B,0))="x",'ETAPA OBRA'!U$1&amp;", ",""),LEN(
IF(INDEX('ETAPA OBRA'!C:C,MATCH($B152,'ETAPA OBRA'!$B:$B,0))="x",'ETAPA OBRA'!C$1&amp;", ","")&amp;
IF(INDEX('ETAPA OBRA'!D:D,MATCH($B152,'ETAPA OBRA'!$B:$B,0))="x",'ETAPA OBRA'!D$1&amp;", ","")&amp;
IF(INDEX('ETAPA OBRA'!F:F,MATCH($B152,'ETAPA OBRA'!$B:$B,0))="x",'ETAPA OBRA'!F$1&amp;", ","")&amp;
IF(INDEX('ETAPA OBRA'!G:G,MATCH($B152,'ETAPA OBRA'!$B:$B,0))="x",'ETAPA OBRA'!G$1&amp;", ","")&amp;
IF(INDEX('ETAPA OBRA'!H:H,MATCH($B152,'ETAPA OBRA'!$B:$B,0))="x",'ETAPA OBRA'!H$1&amp;", ","")&amp;
IF(INDEX('ETAPA OBRA'!I:I,MATCH($B152,'ETAPA OBRA'!$B:$B,0))="x",'ETAPA OBRA'!I$1&amp;", ","")&amp;
IF(INDEX('ETAPA OBRA'!J:J,MATCH($B152,'ETAPA OBRA'!$B:$B,0))="x",'ETAPA OBRA'!J$1&amp;", ","")&amp;
IF(INDEX('ETAPA OBRA'!K:K,MATCH($B152,'ETAPA OBRA'!$B:$B,0))="x",'ETAPA OBRA'!K$1&amp;", ","")&amp;
IF(INDEX('ETAPA OBRA'!L:L,MATCH($B152,'ETAPA OBRA'!$B:$B,0))="x",'ETAPA OBRA'!L$1&amp;", ","")&amp;
IF(INDEX('ETAPA OBRA'!M:M,MATCH($B152,'ETAPA OBRA'!$B:$B,0))="x",'ETAPA OBRA'!M$1&amp;", ","")&amp;
IF(INDEX('ETAPA OBRA'!N:N,MATCH($B152,'ETAPA OBRA'!$B:$B,0))="x",'ETAPA OBRA'!N$1&amp;", ","")&amp;
IF(INDEX('ETAPA OBRA'!O:O,MATCH($B152,'ETAPA OBRA'!$B:$B,0))="x",'ETAPA OBRA'!O$1&amp;", ","")&amp;
IF(INDEX('ETAPA OBRA'!P:P,MATCH($B152,'ETAPA OBRA'!$B:$B,0))="x",'ETAPA OBRA'!P$1&amp;", ","")&amp;
IF(INDEX('ETAPA OBRA'!Q:Q,MATCH($B152,'ETAPA OBRA'!$B:$B,0))="x",'ETAPA OBRA'!Q$1&amp;", ","")&amp;
IF(INDEX('ETAPA OBRA'!R:R,MATCH($B152,'ETAPA OBRA'!$B:$B,0))="x",'ETAPA OBRA'!R$1&amp;", ","")&amp;
IF(INDEX('ETAPA OBRA'!S:S,MATCH($B152,'ETAPA OBRA'!$B:$B,0))="x",'ETAPA OBRA'!S$1&amp;", ","")&amp;
IF(INDEX('ETAPA OBRA'!T:T,MATCH($B152,'ETAPA OBRA'!$B:$B,0))="x",'ETAPA OBRA'!T$1&amp;", ","")&amp;
IF(INDEX('ETAPA OBRA'!U:U,MATCH($B152,'ETAPA OBRA'!$B:$B,0))="x",'ETAPA OBRA'!U$1&amp;", ","")
)-2),"")</f>
        <v>Execução</v>
      </c>
      <c r="N152" s="23" t="str">
        <f t="shared" ca="1" si="18"/>
        <v>Em andamento</v>
      </c>
      <c r="O152" s="28">
        <v>51051.7</v>
      </c>
      <c r="P152" s="37">
        <f t="shared" si="19"/>
        <v>22000</v>
      </c>
      <c r="Q152" s="28">
        <f t="shared" si="20"/>
        <v>29051.699999999997</v>
      </c>
      <c r="R152" s="29">
        <f t="shared" si="21"/>
        <v>0.56906430148261467</v>
      </c>
      <c r="S152" s="23" t="str">
        <f t="shared" si="22"/>
        <v>✅ OK - Fechar Parceiro</v>
      </c>
      <c r="T152" s="23" t="str">
        <f ca="1">Cronograma[[#This Row],[STATUS]]</f>
        <v>🕓 EM ANDAMENTO</v>
      </c>
    </row>
    <row r="153" spans="1:20" ht="15" customHeight="1" x14ac:dyDescent="0.3">
      <c r="A153" s="23" t="s">
        <v>463</v>
      </c>
      <c r="B153" s="23" t="str">
        <f>IF(A153&lt;&gt;"","contel-"&amp;TEXT(COUNTA($A$2:A153),"00"),"")</f>
        <v>contel-152</v>
      </c>
      <c r="C153" s="23" t="s">
        <v>120</v>
      </c>
      <c r="D153" s="23" t="s">
        <v>464</v>
      </c>
      <c r="E153" s="23" t="s">
        <v>32</v>
      </c>
      <c r="F153" s="52" t="s">
        <v>465</v>
      </c>
      <c r="G153" s="23">
        <v>1944</v>
      </c>
      <c r="H153" s="30">
        <v>27885</v>
      </c>
      <c r="I153" s="23" t="s">
        <v>297</v>
      </c>
      <c r="J153" s="25">
        <f>SUM(EQUIPE!C153,EQUIPE!E153,EQUIPE!G153,EQUIPE!I153,EQUIPE!K153,EQUIPE!M153,EQUIPE!O153)</f>
        <v>1000</v>
      </c>
      <c r="K153" s="25">
        <v>0</v>
      </c>
      <c r="L153" s="25">
        <v>0</v>
      </c>
      <c r="M153" s="27" t="str">
        <f ca="1">IFERROR(LEFT(
IF(INDEX('ETAPA OBRA'!C:C,MATCH($B153,'ETAPA OBRA'!$B:$B,0))="x",'ETAPA OBRA'!C$1&amp;", ","")&amp;
IF(INDEX('ETAPA OBRA'!D:D,MATCH($B153,'ETAPA OBRA'!$B:$B,0))="x",'ETAPA OBRA'!D$1&amp;", ","")&amp;
IF(INDEX('ETAPA OBRA'!F:F,MATCH($B153,'ETAPA OBRA'!$B:$B,0))="x",'ETAPA OBRA'!F$1&amp;", ","")&amp;
IF(INDEX('ETAPA OBRA'!G:G,MATCH($B153,'ETAPA OBRA'!$B:$B,0))="x",'ETAPA OBRA'!G$1&amp;", ","")&amp;
IF(INDEX('ETAPA OBRA'!H:H,MATCH($B153,'ETAPA OBRA'!$B:$B,0))="x",'ETAPA OBRA'!H$1&amp;", ","")&amp;
IF(INDEX('ETAPA OBRA'!I:I,MATCH($B153,'ETAPA OBRA'!$B:$B,0))="x",'ETAPA OBRA'!I$1&amp;", ","")&amp;
IF(INDEX('ETAPA OBRA'!J:J,MATCH($B153,'ETAPA OBRA'!$B:$B,0))="x",'ETAPA OBRA'!J$1&amp;", ","")&amp;
IF(INDEX('ETAPA OBRA'!K:K,MATCH($B153,'ETAPA OBRA'!$B:$B,0))="x",'ETAPA OBRA'!K$1&amp;", ","")&amp;
IF(INDEX('ETAPA OBRA'!L:L,MATCH($B153,'ETAPA OBRA'!$B:$B,0))="x",'ETAPA OBRA'!L$1&amp;", ","")&amp;
IF(INDEX('ETAPA OBRA'!M:M,MATCH($B153,'ETAPA OBRA'!$B:$B,0))="x",'ETAPA OBRA'!M$1&amp;", ","")&amp;
IF(INDEX('ETAPA OBRA'!N:N,MATCH($B153,'ETAPA OBRA'!$B:$B,0))="x",'ETAPA OBRA'!N$1&amp;", ","")&amp;
IF(INDEX('ETAPA OBRA'!O:O,MATCH($B153,'ETAPA OBRA'!$B:$B,0))="x",'ETAPA OBRA'!O$1&amp;", ","")&amp;
IF(INDEX('ETAPA OBRA'!P:P,MATCH($B153,'ETAPA OBRA'!$B:$B,0))="x",'ETAPA OBRA'!P$1&amp;", ","")&amp;
IF(INDEX('ETAPA OBRA'!Q:Q,MATCH($B153,'ETAPA OBRA'!$B:$B,0))="x",'ETAPA OBRA'!Q$1&amp;", ","")&amp;
IF(INDEX('ETAPA OBRA'!R:R,MATCH($B153,'ETAPA OBRA'!$B:$B,0))="x",'ETAPA OBRA'!R$1&amp;", ","")&amp;
IF(INDEX('ETAPA OBRA'!S:S,MATCH($B153,'ETAPA OBRA'!$B:$B,0))="x",'ETAPA OBRA'!S$1&amp;", ","")&amp;
IF(INDEX('ETAPA OBRA'!T:T,MATCH($B153,'ETAPA OBRA'!$B:$B,0))="x",'ETAPA OBRA'!T$1&amp;", ","")&amp;
IF(INDEX('ETAPA OBRA'!U:U,MATCH($B153,'ETAPA OBRA'!$B:$B,0))="x",'ETAPA OBRA'!U$1&amp;", ",""),LEN(
IF(INDEX('ETAPA OBRA'!C:C,MATCH($B153,'ETAPA OBRA'!$B:$B,0))="x",'ETAPA OBRA'!C$1&amp;", ","")&amp;
IF(INDEX('ETAPA OBRA'!D:D,MATCH($B153,'ETAPA OBRA'!$B:$B,0))="x",'ETAPA OBRA'!D$1&amp;", ","")&amp;
IF(INDEX('ETAPA OBRA'!F:F,MATCH($B153,'ETAPA OBRA'!$B:$B,0))="x",'ETAPA OBRA'!F$1&amp;", ","")&amp;
IF(INDEX('ETAPA OBRA'!G:G,MATCH($B153,'ETAPA OBRA'!$B:$B,0))="x",'ETAPA OBRA'!G$1&amp;", ","")&amp;
IF(INDEX('ETAPA OBRA'!H:H,MATCH($B153,'ETAPA OBRA'!$B:$B,0))="x",'ETAPA OBRA'!H$1&amp;", ","")&amp;
IF(INDEX('ETAPA OBRA'!I:I,MATCH($B153,'ETAPA OBRA'!$B:$B,0))="x",'ETAPA OBRA'!I$1&amp;", ","")&amp;
IF(INDEX('ETAPA OBRA'!J:J,MATCH($B153,'ETAPA OBRA'!$B:$B,0))="x",'ETAPA OBRA'!J$1&amp;", ","")&amp;
IF(INDEX('ETAPA OBRA'!K:K,MATCH($B153,'ETAPA OBRA'!$B:$B,0))="x",'ETAPA OBRA'!K$1&amp;", ","")&amp;
IF(INDEX('ETAPA OBRA'!L:L,MATCH($B153,'ETAPA OBRA'!$B:$B,0))="x",'ETAPA OBRA'!L$1&amp;", ","")&amp;
IF(INDEX('ETAPA OBRA'!M:M,MATCH($B153,'ETAPA OBRA'!$B:$B,0))="x",'ETAPA OBRA'!M$1&amp;", ","")&amp;
IF(INDEX('ETAPA OBRA'!N:N,MATCH($B153,'ETAPA OBRA'!$B:$B,0))="x",'ETAPA OBRA'!N$1&amp;", ","")&amp;
IF(INDEX('ETAPA OBRA'!O:O,MATCH($B153,'ETAPA OBRA'!$B:$B,0))="x",'ETAPA OBRA'!O$1&amp;", ","")&amp;
IF(INDEX('ETAPA OBRA'!P:P,MATCH($B153,'ETAPA OBRA'!$B:$B,0))="x",'ETAPA OBRA'!P$1&amp;", ","")&amp;
IF(INDEX('ETAPA OBRA'!Q:Q,MATCH($B153,'ETAPA OBRA'!$B:$B,0))="x",'ETAPA OBRA'!Q$1&amp;", ","")&amp;
IF(INDEX('ETAPA OBRA'!R:R,MATCH($B153,'ETAPA OBRA'!$B:$B,0))="x",'ETAPA OBRA'!R$1&amp;", ","")&amp;
IF(INDEX('ETAPA OBRA'!S:S,MATCH($B153,'ETAPA OBRA'!$B:$B,0))="x",'ETAPA OBRA'!S$1&amp;", ","")&amp;
IF(INDEX('ETAPA OBRA'!T:T,MATCH($B153,'ETAPA OBRA'!$B:$B,0))="x",'ETAPA OBRA'!T$1&amp;", ","")&amp;
IF(INDEX('ETAPA OBRA'!U:U,MATCH($B153,'ETAPA OBRA'!$B:$B,0))="x",'ETAPA OBRA'!U$1&amp;", ","")
)-2),"")</f>
        <v>Execução</v>
      </c>
      <c r="N153" s="23" t="str">
        <f t="shared" ca="1" si="18"/>
        <v>Em andamento</v>
      </c>
      <c r="O153" s="28">
        <v>4123.7</v>
      </c>
      <c r="P153" s="37">
        <f t="shared" si="19"/>
        <v>1000</v>
      </c>
      <c r="Q153" s="28">
        <f t="shared" si="20"/>
        <v>3123.7</v>
      </c>
      <c r="R153" s="29">
        <f t="shared" si="21"/>
        <v>0.75749933312316609</v>
      </c>
      <c r="S153" s="23" t="str">
        <f t="shared" si="22"/>
        <v>✅ OK - Fechar Parceiro</v>
      </c>
      <c r="T153" s="23" t="str">
        <f ca="1">Cronograma[[#This Row],[STATUS]]</f>
        <v>🕓 EM ANDAMENTO</v>
      </c>
    </row>
    <row r="154" spans="1:20" ht="15" customHeight="1" x14ac:dyDescent="0.3">
      <c r="A154" s="23" t="s">
        <v>466</v>
      </c>
      <c r="B154" s="23" t="str">
        <f>IF(A154&lt;&gt;"","contel-"&amp;TEXT(COUNTA($A$2:A154),"00"),"")</f>
        <v>contel-153</v>
      </c>
      <c r="C154" s="23" t="s">
        <v>120</v>
      </c>
      <c r="D154" s="23" t="s">
        <v>164</v>
      </c>
      <c r="E154" s="23" t="s">
        <v>32</v>
      </c>
      <c r="F154" s="52" t="s">
        <v>467</v>
      </c>
      <c r="G154" s="23">
        <v>1901</v>
      </c>
      <c r="H154" s="30">
        <v>27030</v>
      </c>
      <c r="I154" s="23" t="s">
        <v>297</v>
      </c>
      <c r="J154" s="25">
        <f>SUM(EQUIPE!C154,EQUIPE!E154,EQUIPE!G154,EQUIPE!I154,EQUIPE!K154,EQUIPE!M154,EQUIPE!O154)</f>
        <v>0</v>
      </c>
      <c r="K154" s="25">
        <v>0</v>
      </c>
      <c r="L154" s="25">
        <v>0</v>
      </c>
      <c r="M154" s="27" t="str">
        <f ca="1">IFERROR(LEFT(
IF(INDEX('ETAPA OBRA'!C:C,MATCH($B154,'ETAPA OBRA'!$B:$B,0))="x",'ETAPA OBRA'!C$1&amp;", ","")&amp;
IF(INDEX('ETAPA OBRA'!D:D,MATCH($B154,'ETAPA OBRA'!$B:$B,0))="x",'ETAPA OBRA'!D$1&amp;", ","")&amp;
IF(INDEX('ETAPA OBRA'!F:F,MATCH($B154,'ETAPA OBRA'!$B:$B,0))="x",'ETAPA OBRA'!F$1&amp;", ","")&amp;
IF(INDEX('ETAPA OBRA'!G:G,MATCH($B154,'ETAPA OBRA'!$B:$B,0))="x",'ETAPA OBRA'!G$1&amp;", ","")&amp;
IF(INDEX('ETAPA OBRA'!H:H,MATCH($B154,'ETAPA OBRA'!$B:$B,0))="x",'ETAPA OBRA'!H$1&amp;", ","")&amp;
IF(INDEX('ETAPA OBRA'!I:I,MATCH($B154,'ETAPA OBRA'!$B:$B,0))="x",'ETAPA OBRA'!I$1&amp;", ","")&amp;
IF(INDEX('ETAPA OBRA'!J:J,MATCH($B154,'ETAPA OBRA'!$B:$B,0))="x",'ETAPA OBRA'!J$1&amp;", ","")&amp;
IF(INDEX('ETAPA OBRA'!K:K,MATCH($B154,'ETAPA OBRA'!$B:$B,0))="x",'ETAPA OBRA'!K$1&amp;", ","")&amp;
IF(INDEX('ETAPA OBRA'!L:L,MATCH($B154,'ETAPA OBRA'!$B:$B,0))="x",'ETAPA OBRA'!L$1&amp;", ","")&amp;
IF(INDEX('ETAPA OBRA'!M:M,MATCH($B154,'ETAPA OBRA'!$B:$B,0))="x",'ETAPA OBRA'!M$1&amp;", ","")&amp;
IF(INDEX('ETAPA OBRA'!N:N,MATCH($B154,'ETAPA OBRA'!$B:$B,0))="x",'ETAPA OBRA'!N$1&amp;", ","")&amp;
IF(INDEX('ETAPA OBRA'!O:O,MATCH($B154,'ETAPA OBRA'!$B:$B,0))="x",'ETAPA OBRA'!O$1&amp;", ","")&amp;
IF(INDEX('ETAPA OBRA'!P:P,MATCH($B154,'ETAPA OBRA'!$B:$B,0))="x",'ETAPA OBRA'!P$1&amp;", ","")&amp;
IF(INDEX('ETAPA OBRA'!Q:Q,MATCH($B154,'ETAPA OBRA'!$B:$B,0))="x",'ETAPA OBRA'!Q$1&amp;", ","")&amp;
IF(INDEX('ETAPA OBRA'!R:R,MATCH($B154,'ETAPA OBRA'!$B:$B,0))="x",'ETAPA OBRA'!R$1&amp;", ","")&amp;
IF(INDEX('ETAPA OBRA'!S:S,MATCH($B154,'ETAPA OBRA'!$B:$B,0))="x",'ETAPA OBRA'!S$1&amp;", ","")&amp;
IF(INDEX('ETAPA OBRA'!T:T,MATCH($B154,'ETAPA OBRA'!$B:$B,0))="x",'ETAPA OBRA'!T$1&amp;", ","")&amp;
IF(INDEX('ETAPA OBRA'!U:U,MATCH($B154,'ETAPA OBRA'!$B:$B,0))="x",'ETAPA OBRA'!U$1&amp;", ",""),LEN(
IF(INDEX('ETAPA OBRA'!C:C,MATCH($B154,'ETAPA OBRA'!$B:$B,0))="x",'ETAPA OBRA'!C$1&amp;", ","")&amp;
IF(INDEX('ETAPA OBRA'!D:D,MATCH($B154,'ETAPA OBRA'!$B:$B,0))="x",'ETAPA OBRA'!D$1&amp;", ","")&amp;
IF(INDEX('ETAPA OBRA'!F:F,MATCH($B154,'ETAPA OBRA'!$B:$B,0))="x",'ETAPA OBRA'!F$1&amp;", ","")&amp;
IF(INDEX('ETAPA OBRA'!G:G,MATCH($B154,'ETAPA OBRA'!$B:$B,0))="x",'ETAPA OBRA'!G$1&amp;", ","")&amp;
IF(INDEX('ETAPA OBRA'!H:H,MATCH($B154,'ETAPA OBRA'!$B:$B,0))="x",'ETAPA OBRA'!H$1&amp;", ","")&amp;
IF(INDEX('ETAPA OBRA'!I:I,MATCH($B154,'ETAPA OBRA'!$B:$B,0))="x",'ETAPA OBRA'!I$1&amp;", ","")&amp;
IF(INDEX('ETAPA OBRA'!J:J,MATCH($B154,'ETAPA OBRA'!$B:$B,0))="x",'ETAPA OBRA'!J$1&amp;", ","")&amp;
IF(INDEX('ETAPA OBRA'!K:K,MATCH($B154,'ETAPA OBRA'!$B:$B,0))="x",'ETAPA OBRA'!K$1&amp;", ","")&amp;
IF(INDEX('ETAPA OBRA'!L:L,MATCH($B154,'ETAPA OBRA'!$B:$B,0))="x",'ETAPA OBRA'!L$1&amp;", ","")&amp;
IF(INDEX('ETAPA OBRA'!M:M,MATCH($B154,'ETAPA OBRA'!$B:$B,0))="x",'ETAPA OBRA'!M$1&amp;", ","")&amp;
IF(INDEX('ETAPA OBRA'!N:N,MATCH($B154,'ETAPA OBRA'!$B:$B,0))="x",'ETAPA OBRA'!N$1&amp;", ","")&amp;
IF(INDEX('ETAPA OBRA'!O:O,MATCH($B154,'ETAPA OBRA'!$B:$B,0))="x",'ETAPA OBRA'!O$1&amp;", ","")&amp;
IF(INDEX('ETAPA OBRA'!P:P,MATCH($B154,'ETAPA OBRA'!$B:$B,0))="x",'ETAPA OBRA'!P$1&amp;", ","")&amp;
IF(INDEX('ETAPA OBRA'!Q:Q,MATCH($B154,'ETAPA OBRA'!$B:$B,0))="x",'ETAPA OBRA'!Q$1&amp;", ","")&amp;
IF(INDEX('ETAPA OBRA'!R:R,MATCH($B154,'ETAPA OBRA'!$B:$B,0))="x",'ETAPA OBRA'!R$1&amp;", ","")&amp;
IF(INDEX('ETAPA OBRA'!S:S,MATCH($B154,'ETAPA OBRA'!$B:$B,0))="x",'ETAPA OBRA'!S$1&amp;", ","")&amp;
IF(INDEX('ETAPA OBRA'!T:T,MATCH($B154,'ETAPA OBRA'!$B:$B,0))="x",'ETAPA OBRA'!T$1&amp;", ","")&amp;
IF(INDEX('ETAPA OBRA'!U:U,MATCH($B154,'ETAPA OBRA'!$B:$B,0))="x",'ETAPA OBRA'!U$1&amp;", ","")
)-2),"")</f>
        <v>Compra de material, Fabricação / Galvanização</v>
      </c>
      <c r="N154" s="23" t="str">
        <f t="shared" ca="1" si="18"/>
        <v>Em andamento</v>
      </c>
      <c r="O154" s="28">
        <v>39388.42</v>
      </c>
      <c r="P154" s="37">
        <f t="shared" si="19"/>
        <v>0</v>
      </c>
      <c r="Q154" s="28">
        <f t="shared" si="20"/>
        <v>39388.42</v>
      </c>
      <c r="R154" s="29">
        <f t="shared" si="21"/>
        <v>1</v>
      </c>
      <c r="S154" s="23" t="str">
        <f t="shared" si="22"/>
        <v>✅ OK - Fechar Parceiro</v>
      </c>
      <c r="T154" s="23" t="str">
        <f ca="1">Cronograma[[#This Row],[STATUS]]</f>
        <v>🕓 EM ANDAMENTO</v>
      </c>
    </row>
    <row r="155" spans="1:20" ht="15" customHeight="1" x14ac:dyDescent="0.3">
      <c r="A155" s="23" t="s">
        <v>468</v>
      </c>
      <c r="B155" s="23" t="str">
        <f>IF(A155&lt;&gt;"","contel-"&amp;TEXT(COUNTA($A$2:A155),"00"),"")</f>
        <v>contel-154</v>
      </c>
      <c r="C155" s="23" t="s">
        <v>469</v>
      </c>
      <c r="D155" s="23" t="s">
        <v>468</v>
      </c>
      <c r="E155" s="23" t="s">
        <v>88</v>
      </c>
      <c r="F155" s="52" t="s">
        <v>470</v>
      </c>
      <c r="G155" s="23">
        <v>598</v>
      </c>
      <c r="H155" s="30">
        <v>3606</v>
      </c>
      <c r="I155" s="23" t="s">
        <v>90</v>
      </c>
      <c r="J155" s="25">
        <f>SUM(EQUIPE!C155,EQUIPE!E155,EQUIPE!G155,EQUIPE!I155,EQUIPE!K155,EQUIPE!M155,EQUIPE!O155)</f>
        <v>0</v>
      </c>
      <c r="K155" s="25">
        <v>0</v>
      </c>
      <c r="L155" s="25">
        <v>0</v>
      </c>
      <c r="M155" s="27" t="str">
        <f ca="1">IFERROR(LEFT(
IF(INDEX('ETAPA OBRA'!C:C,MATCH($B155,'ETAPA OBRA'!$B:$B,0))="x",'ETAPA OBRA'!C$1&amp;", ","")&amp;
IF(INDEX('ETAPA OBRA'!D:D,MATCH($B155,'ETAPA OBRA'!$B:$B,0))="x",'ETAPA OBRA'!D$1&amp;", ","")&amp;
IF(INDEX('ETAPA OBRA'!F:F,MATCH($B155,'ETAPA OBRA'!$B:$B,0))="x",'ETAPA OBRA'!F$1&amp;", ","")&amp;
IF(INDEX('ETAPA OBRA'!G:G,MATCH($B155,'ETAPA OBRA'!$B:$B,0))="x",'ETAPA OBRA'!G$1&amp;", ","")&amp;
IF(INDEX('ETAPA OBRA'!H:H,MATCH($B155,'ETAPA OBRA'!$B:$B,0))="x",'ETAPA OBRA'!H$1&amp;", ","")&amp;
IF(INDEX('ETAPA OBRA'!I:I,MATCH($B155,'ETAPA OBRA'!$B:$B,0))="x",'ETAPA OBRA'!I$1&amp;", ","")&amp;
IF(INDEX('ETAPA OBRA'!J:J,MATCH($B155,'ETAPA OBRA'!$B:$B,0))="x",'ETAPA OBRA'!J$1&amp;", ","")&amp;
IF(INDEX('ETAPA OBRA'!K:K,MATCH($B155,'ETAPA OBRA'!$B:$B,0))="x",'ETAPA OBRA'!K$1&amp;", ","")&amp;
IF(INDEX('ETAPA OBRA'!L:L,MATCH($B155,'ETAPA OBRA'!$B:$B,0))="x",'ETAPA OBRA'!L$1&amp;", ","")&amp;
IF(INDEX('ETAPA OBRA'!M:M,MATCH($B155,'ETAPA OBRA'!$B:$B,0))="x",'ETAPA OBRA'!M$1&amp;", ","")&amp;
IF(INDEX('ETAPA OBRA'!N:N,MATCH($B155,'ETAPA OBRA'!$B:$B,0))="x",'ETAPA OBRA'!N$1&amp;", ","")&amp;
IF(INDEX('ETAPA OBRA'!O:O,MATCH($B155,'ETAPA OBRA'!$B:$B,0))="x",'ETAPA OBRA'!O$1&amp;", ","")&amp;
IF(INDEX('ETAPA OBRA'!P:P,MATCH($B155,'ETAPA OBRA'!$B:$B,0))="x",'ETAPA OBRA'!P$1&amp;", ","")&amp;
IF(INDEX('ETAPA OBRA'!Q:Q,MATCH($B155,'ETAPA OBRA'!$B:$B,0))="x",'ETAPA OBRA'!Q$1&amp;", ","")&amp;
IF(INDEX('ETAPA OBRA'!R:R,MATCH($B155,'ETAPA OBRA'!$B:$B,0))="x",'ETAPA OBRA'!R$1&amp;", ","")&amp;
IF(INDEX('ETAPA OBRA'!S:S,MATCH($B155,'ETAPA OBRA'!$B:$B,0))="x",'ETAPA OBRA'!S$1&amp;", ","")&amp;
IF(INDEX('ETAPA OBRA'!T:T,MATCH($B155,'ETAPA OBRA'!$B:$B,0))="x",'ETAPA OBRA'!T$1&amp;", ","")&amp;
IF(INDEX('ETAPA OBRA'!U:U,MATCH($B155,'ETAPA OBRA'!$B:$B,0))="x",'ETAPA OBRA'!U$1&amp;", ",""),LEN(
IF(INDEX('ETAPA OBRA'!C:C,MATCH($B155,'ETAPA OBRA'!$B:$B,0))="x",'ETAPA OBRA'!C$1&amp;", ","")&amp;
IF(INDEX('ETAPA OBRA'!D:D,MATCH($B155,'ETAPA OBRA'!$B:$B,0))="x",'ETAPA OBRA'!D$1&amp;", ","")&amp;
IF(INDEX('ETAPA OBRA'!F:F,MATCH($B155,'ETAPA OBRA'!$B:$B,0))="x",'ETAPA OBRA'!F$1&amp;", ","")&amp;
IF(INDEX('ETAPA OBRA'!G:G,MATCH($B155,'ETAPA OBRA'!$B:$B,0))="x",'ETAPA OBRA'!G$1&amp;", ","")&amp;
IF(INDEX('ETAPA OBRA'!H:H,MATCH($B155,'ETAPA OBRA'!$B:$B,0))="x",'ETAPA OBRA'!H$1&amp;", ","")&amp;
IF(INDEX('ETAPA OBRA'!I:I,MATCH($B155,'ETAPA OBRA'!$B:$B,0))="x",'ETAPA OBRA'!I$1&amp;", ","")&amp;
IF(INDEX('ETAPA OBRA'!J:J,MATCH($B155,'ETAPA OBRA'!$B:$B,0))="x",'ETAPA OBRA'!J$1&amp;", ","")&amp;
IF(INDEX('ETAPA OBRA'!K:K,MATCH($B155,'ETAPA OBRA'!$B:$B,0))="x",'ETAPA OBRA'!K$1&amp;", ","")&amp;
IF(INDEX('ETAPA OBRA'!L:L,MATCH($B155,'ETAPA OBRA'!$B:$B,0))="x",'ETAPA OBRA'!L$1&amp;", ","")&amp;
IF(INDEX('ETAPA OBRA'!M:M,MATCH($B155,'ETAPA OBRA'!$B:$B,0))="x",'ETAPA OBRA'!M$1&amp;", ","")&amp;
IF(INDEX('ETAPA OBRA'!N:N,MATCH($B155,'ETAPA OBRA'!$B:$B,0))="x",'ETAPA OBRA'!N$1&amp;", ","")&amp;
IF(INDEX('ETAPA OBRA'!O:O,MATCH($B155,'ETAPA OBRA'!$B:$B,0))="x",'ETAPA OBRA'!O$1&amp;", ","")&amp;
IF(INDEX('ETAPA OBRA'!P:P,MATCH($B155,'ETAPA OBRA'!$B:$B,0))="x",'ETAPA OBRA'!P$1&amp;", ","")&amp;
IF(INDEX('ETAPA OBRA'!Q:Q,MATCH($B155,'ETAPA OBRA'!$B:$B,0))="x",'ETAPA OBRA'!Q$1&amp;", ","")&amp;
IF(INDEX('ETAPA OBRA'!R:R,MATCH($B155,'ETAPA OBRA'!$B:$B,0))="x",'ETAPA OBRA'!R$1&amp;", ","")&amp;
IF(INDEX('ETAPA OBRA'!S:S,MATCH($B155,'ETAPA OBRA'!$B:$B,0))="x",'ETAPA OBRA'!S$1&amp;", ","")&amp;
IF(INDEX('ETAPA OBRA'!T:T,MATCH($B155,'ETAPA OBRA'!$B:$B,0))="x",'ETAPA OBRA'!T$1&amp;", ","")&amp;
IF(INDEX('ETAPA OBRA'!U:U,MATCH($B155,'ETAPA OBRA'!$B:$B,0))="x",'ETAPA OBRA'!U$1&amp;", ","")
)-2),"")</f>
        <v>Envio de material</v>
      </c>
      <c r="N155" s="23" t="str">
        <f t="shared" ca="1" si="18"/>
        <v>Em andamento</v>
      </c>
      <c r="O155" s="28">
        <v>78601</v>
      </c>
      <c r="P155" s="37">
        <f t="shared" si="19"/>
        <v>0</v>
      </c>
      <c r="Q155" s="28">
        <f t="shared" si="20"/>
        <v>78601</v>
      </c>
      <c r="R155" s="29">
        <f t="shared" si="21"/>
        <v>1</v>
      </c>
      <c r="S155" s="23" t="str">
        <f t="shared" si="22"/>
        <v>✅ OK - Fechar Parceiro</v>
      </c>
      <c r="T155" s="23" t="str">
        <f ca="1">Cronograma[[#This Row],[STATUS]]</f>
        <v>🕓 EM ANDAMENTO</v>
      </c>
    </row>
    <row r="156" spans="1:20" ht="15" customHeight="1" x14ac:dyDescent="0.3">
      <c r="A156" s="23" t="s">
        <v>471</v>
      </c>
      <c r="B156" s="23" t="str">
        <f>IF(A156&lt;&gt;"","contel-"&amp;TEXT(COUNTA($A$2:A156),"00"),"")</f>
        <v>contel-155</v>
      </c>
      <c r="C156" s="23" t="s">
        <v>120</v>
      </c>
      <c r="D156" s="23" t="s">
        <v>472</v>
      </c>
      <c r="E156" s="23" t="s">
        <v>473</v>
      </c>
      <c r="F156" s="52" t="s">
        <v>474</v>
      </c>
      <c r="G156" s="23">
        <v>1947</v>
      </c>
      <c r="H156" s="30">
        <v>28221</v>
      </c>
      <c r="I156" s="23" t="s">
        <v>297</v>
      </c>
      <c r="J156" s="25">
        <f>SUM(EQUIPE!C156,EQUIPE!E156,EQUIPE!G156,EQUIPE!I156,EQUIPE!K156,EQUIPE!M156,EQUIPE!O156)</f>
        <v>1900</v>
      </c>
      <c r="K156" s="25">
        <v>0</v>
      </c>
      <c r="L156" s="25">
        <v>0</v>
      </c>
      <c r="M156" s="27" t="str">
        <f ca="1">IFERROR(LEFT(
IF(INDEX('ETAPA OBRA'!C:C,MATCH($B156,'ETAPA OBRA'!$B:$B,0))="x",'ETAPA OBRA'!C$1&amp;", ","")&amp;
IF(INDEX('ETAPA OBRA'!D:D,MATCH($B156,'ETAPA OBRA'!$B:$B,0))="x",'ETAPA OBRA'!D$1&amp;", ","")&amp;
IF(INDEX('ETAPA OBRA'!F:F,MATCH($B156,'ETAPA OBRA'!$B:$B,0))="x",'ETAPA OBRA'!F$1&amp;", ","")&amp;
IF(INDEX('ETAPA OBRA'!G:G,MATCH($B156,'ETAPA OBRA'!$B:$B,0))="x",'ETAPA OBRA'!G$1&amp;", ","")&amp;
IF(INDEX('ETAPA OBRA'!H:H,MATCH($B156,'ETAPA OBRA'!$B:$B,0))="x",'ETAPA OBRA'!H$1&amp;", ","")&amp;
IF(INDEX('ETAPA OBRA'!I:I,MATCH($B156,'ETAPA OBRA'!$B:$B,0))="x",'ETAPA OBRA'!I$1&amp;", ","")&amp;
IF(INDEX('ETAPA OBRA'!J:J,MATCH($B156,'ETAPA OBRA'!$B:$B,0))="x",'ETAPA OBRA'!J$1&amp;", ","")&amp;
IF(INDEX('ETAPA OBRA'!K:K,MATCH($B156,'ETAPA OBRA'!$B:$B,0))="x",'ETAPA OBRA'!K$1&amp;", ","")&amp;
IF(INDEX('ETAPA OBRA'!L:L,MATCH($B156,'ETAPA OBRA'!$B:$B,0))="x",'ETAPA OBRA'!L$1&amp;", ","")&amp;
IF(INDEX('ETAPA OBRA'!M:M,MATCH($B156,'ETAPA OBRA'!$B:$B,0))="x",'ETAPA OBRA'!M$1&amp;", ","")&amp;
IF(INDEX('ETAPA OBRA'!N:N,MATCH($B156,'ETAPA OBRA'!$B:$B,0))="x",'ETAPA OBRA'!N$1&amp;", ","")&amp;
IF(INDEX('ETAPA OBRA'!O:O,MATCH($B156,'ETAPA OBRA'!$B:$B,0))="x",'ETAPA OBRA'!O$1&amp;", ","")&amp;
IF(INDEX('ETAPA OBRA'!P:P,MATCH($B156,'ETAPA OBRA'!$B:$B,0))="x",'ETAPA OBRA'!P$1&amp;", ","")&amp;
IF(INDEX('ETAPA OBRA'!Q:Q,MATCH($B156,'ETAPA OBRA'!$B:$B,0))="x",'ETAPA OBRA'!Q$1&amp;", ","")&amp;
IF(INDEX('ETAPA OBRA'!R:R,MATCH($B156,'ETAPA OBRA'!$B:$B,0))="x",'ETAPA OBRA'!R$1&amp;", ","")&amp;
IF(INDEX('ETAPA OBRA'!S:S,MATCH($B156,'ETAPA OBRA'!$B:$B,0))="x",'ETAPA OBRA'!S$1&amp;", ","")&amp;
IF(INDEX('ETAPA OBRA'!T:T,MATCH($B156,'ETAPA OBRA'!$B:$B,0))="x",'ETAPA OBRA'!T$1&amp;", ","")&amp;
IF(INDEX('ETAPA OBRA'!U:U,MATCH($B156,'ETAPA OBRA'!$B:$B,0))="x",'ETAPA OBRA'!U$1&amp;", ",""),LEN(
IF(INDEX('ETAPA OBRA'!C:C,MATCH($B156,'ETAPA OBRA'!$B:$B,0))="x",'ETAPA OBRA'!C$1&amp;", ","")&amp;
IF(INDEX('ETAPA OBRA'!D:D,MATCH($B156,'ETAPA OBRA'!$B:$B,0))="x",'ETAPA OBRA'!D$1&amp;", ","")&amp;
IF(INDEX('ETAPA OBRA'!F:F,MATCH($B156,'ETAPA OBRA'!$B:$B,0))="x",'ETAPA OBRA'!F$1&amp;", ","")&amp;
IF(INDEX('ETAPA OBRA'!G:G,MATCH($B156,'ETAPA OBRA'!$B:$B,0))="x",'ETAPA OBRA'!G$1&amp;", ","")&amp;
IF(INDEX('ETAPA OBRA'!H:H,MATCH($B156,'ETAPA OBRA'!$B:$B,0))="x",'ETAPA OBRA'!H$1&amp;", ","")&amp;
IF(INDEX('ETAPA OBRA'!I:I,MATCH($B156,'ETAPA OBRA'!$B:$B,0))="x",'ETAPA OBRA'!I$1&amp;", ","")&amp;
IF(INDEX('ETAPA OBRA'!J:J,MATCH($B156,'ETAPA OBRA'!$B:$B,0))="x",'ETAPA OBRA'!J$1&amp;", ","")&amp;
IF(INDEX('ETAPA OBRA'!K:K,MATCH($B156,'ETAPA OBRA'!$B:$B,0))="x",'ETAPA OBRA'!K$1&amp;", ","")&amp;
IF(INDEX('ETAPA OBRA'!L:L,MATCH($B156,'ETAPA OBRA'!$B:$B,0))="x",'ETAPA OBRA'!L$1&amp;", ","")&amp;
IF(INDEX('ETAPA OBRA'!M:M,MATCH($B156,'ETAPA OBRA'!$B:$B,0))="x",'ETAPA OBRA'!M$1&amp;", ","")&amp;
IF(INDEX('ETAPA OBRA'!N:N,MATCH($B156,'ETAPA OBRA'!$B:$B,0))="x",'ETAPA OBRA'!N$1&amp;", ","")&amp;
IF(INDEX('ETAPA OBRA'!O:O,MATCH($B156,'ETAPA OBRA'!$B:$B,0))="x",'ETAPA OBRA'!O$1&amp;", ","")&amp;
IF(INDEX('ETAPA OBRA'!P:P,MATCH($B156,'ETAPA OBRA'!$B:$B,0))="x",'ETAPA OBRA'!P$1&amp;", ","")&amp;
IF(INDEX('ETAPA OBRA'!Q:Q,MATCH($B156,'ETAPA OBRA'!$B:$B,0))="x",'ETAPA OBRA'!Q$1&amp;", ","")&amp;
IF(INDEX('ETAPA OBRA'!R:R,MATCH($B156,'ETAPA OBRA'!$B:$B,0))="x",'ETAPA OBRA'!R$1&amp;", ","")&amp;
IF(INDEX('ETAPA OBRA'!S:S,MATCH($B156,'ETAPA OBRA'!$B:$B,0))="x",'ETAPA OBRA'!S$1&amp;", ","")&amp;
IF(INDEX('ETAPA OBRA'!T:T,MATCH($B156,'ETAPA OBRA'!$B:$B,0))="x",'ETAPA OBRA'!T$1&amp;", ","")&amp;
IF(INDEX('ETAPA OBRA'!U:U,MATCH($B156,'ETAPA OBRA'!$B:$B,0))="x",'ETAPA OBRA'!U$1&amp;", ","")
)-2),"")</f>
        <v>Survey</v>
      </c>
      <c r="N156" s="23" t="str">
        <f t="shared" ca="1" si="18"/>
        <v>Em andamento</v>
      </c>
      <c r="O156" s="28"/>
      <c r="P156" s="37">
        <f t="shared" si="19"/>
        <v>1900</v>
      </c>
      <c r="Q156" s="28">
        <f t="shared" si="20"/>
        <v>-1900</v>
      </c>
      <c r="R156" s="29">
        <f t="shared" si="21"/>
        <v>0</v>
      </c>
      <c r="S156" s="23" t="str">
        <f t="shared" si="22"/>
        <v>⚠️ Ajustar Custos (&lt;20%)</v>
      </c>
      <c r="T156" s="23" t="str">
        <f ca="1">Cronograma[[#This Row],[STATUS]]</f>
        <v>🕓 EM ANDAMENTO</v>
      </c>
    </row>
    <row r="157" spans="1:20" ht="15" customHeight="1" x14ac:dyDescent="0.3">
      <c r="A157" s="23" t="s">
        <v>475</v>
      </c>
      <c r="B157" s="23" t="str">
        <f>IF(A157&lt;&gt;"","contel-"&amp;TEXT(COUNTA($A$2:A157),"00"),"")</f>
        <v>contel-156</v>
      </c>
      <c r="C157" s="23" t="s">
        <v>120</v>
      </c>
      <c r="D157" s="23" t="s">
        <v>344</v>
      </c>
      <c r="E157" s="23" t="s">
        <v>309</v>
      </c>
      <c r="F157" s="52" t="s">
        <v>476</v>
      </c>
      <c r="G157" s="23">
        <v>1784</v>
      </c>
      <c r="H157" s="30">
        <v>16116</v>
      </c>
      <c r="I157" s="23" t="s">
        <v>297</v>
      </c>
      <c r="J157" s="25">
        <f>SUM(EQUIPE!C157,EQUIPE!E157,EQUIPE!G157,EQUIPE!I157,EQUIPE!K157,EQUIPE!M157,EQUIPE!O157)</f>
        <v>0</v>
      </c>
      <c r="K157" s="25">
        <v>0</v>
      </c>
      <c r="L157" s="25">
        <v>0</v>
      </c>
      <c r="M157" s="27" t="str">
        <f ca="1">IFERROR(LEFT(
IF(INDEX('ETAPA OBRA'!C:C,MATCH($B157,'ETAPA OBRA'!$B:$B,0))="x",'ETAPA OBRA'!C$1&amp;", ","")&amp;
IF(INDEX('ETAPA OBRA'!D:D,MATCH($B157,'ETAPA OBRA'!$B:$B,0))="x",'ETAPA OBRA'!D$1&amp;", ","")&amp;
IF(INDEX('ETAPA OBRA'!F:F,MATCH($B157,'ETAPA OBRA'!$B:$B,0))="x",'ETAPA OBRA'!F$1&amp;", ","")&amp;
IF(INDEX('ETAPA OBRA'!G:G,MATCH($B157,'ETAPA OBRA'!$B:$B,0))="x",'ETAPA OBRA'!G$1&amp;", ","")&amp;
IF(INDEX('ETAPA OBRA'!H:H,MATCH($B157,'ETAPA OBRA'!$B:$B,0))="x",'ETAPA OBRA'!H$1&amp;", ","")&amp;
IF(INDEX('ETAPA OBRA'!I:I,MATCH($B157,'ETAPA OBRA'!$B:$B,0))="x",'ETAPA OBRA'!I$1&amp;", ","")&amp;
IF(INDEX('ETAPA OBRA'!J:J,MATCH($B157,'ETAPA OBRA'!$B:$B,0))="x",'ETAPA OBRA'!J$1&amp;", ","")&amp;
IF(INDEX('ETAPA OBRA'!K:K,MATCH($B157,'ETAPA OBRA'!$B:$B,0))="x",'ETAPA OBRA'!K$1&amp;", ","")&amp;
IF(INDEX('ETAPA OBRA'!L:L,MATCH($B157,'ETAPA OBRA'!$B:$B,0))="x",'ETAPA OBRA'!L$1&amp;", ","")&amp;
IF(INDEX('ETAPA OBRA'!M:M,MATCH($B157,'ETAPA OBRA'!$B:$B,0))="x",'ETAPA OBRA'!M$1&amp;", ","")&amp;
IF(INDEX('ETAPA OBRA'!N:N,MATCH($B157,'ETAPA OBRA'!$B:$B,0))="x",'ETAPA OBRA'!N$1&amp;", ","")&amp;
IF(INDEX('ETAPA OBRA'!O:O,MATCH($B157,'ETAPA OBRA'!$B:$B,0))="x",'ETAPA OBRA'!O$1&amp;", ","")&amp;
IF(INDEX('ETAPA OBRA'!P:P,MATCH($B157,'ETAPA OBRA'!$B:$B,0))="x",'ETAPA OBRA'!P$1&amp;", ","")&amp;
IF(INDEX('ETAPA OBRA'!Q:Q,MATCH($B157,'ETAPA OBRA'!$B:$B,0))="x",'ETAPA OBRA'!Q$1&amp;", ","")&amp;
IF(INDEX('ETAPA OBRA'!R:R,MATCH($B157,'ETAPA OBRA'!$B:$B,0))="x",'ETAPA OBRA'!R$1&amp;", ","")&amp;
IF(INDEX('ETAPA OBRA'!S:S,MATCH($B157,'ETAPA OBRA'!$B:$B,0))="x",'ETAPA OBRA'!S$1&amp;", ","")&amp;
IF(INDEX('ETAPA OBRA'!T:T,MATCH($B157,'ETAPA OBRA'!$B:$B,0))="x",'ETAPA OBRA'!T$1&amp;", ","")&amp;
IF(INDEX('ETAPA OBRA'!U:U,MATCH($B157,'ETAPA OBRA'!$B:$B,0))="x",'ETAPA OBRA'!U$1&amp;", ",""),LEN(
IF(INDEX('ETAPA OBRA'!C:C,MATCH($B157,'ETAPA OBRA'!$B:$B,0))="x",'ETAPA OBRA'!C$1&amp;", ","")&amp;
IF(INDEX('ETAPA OBRA'!D:D,MATCH($B157,'ETAPA OBRA'!$B:$B,0))="x",'ETAPA OBRA'!D$1&amp;", ","")&amp;
IF(INDEX('ETAPA OBRA'!F:F,MATCH($B157,'ETAPA OBRA'!$B:$B,0))="x",'ETAPA OBRA'!F$1&amp;", ","")&amp;
IF(INDEX('ETAPA OBRA'!G:G,MATCH($B157,'ETAPA OBRA'!$B:$B,0))="x",'ETAPA OBRA'!G$1&amp;", ","")&amp;
IF(INDEX('ETAPA OBRA'!H:H,MATCH($B157,'ETAPA OBRA'!$B:$B,0))="x",'ETAPA OBRA'!H$1&amp;", ","")&amp;
IF(INDEX('ETAPA OBRA'!I:I,MATCH($B157,'ETAPA OBRA'!$B:$B,0))="x",'ETAPA OBRA'!I$1&amp;", ","")&amp;
IF(INDEX('ETAPA OBRA'!J:J,MATCH($B157,'ETAPA OBRA'!$B:$B,0))="x",'ETAPA OBRA'!J$1&amp;", ","")&amp;
IF(INDEX('ETAPA OBRA'!K:K,MATCH($B157,'ETAPA OBRA'!$B:$B,0))="x",'ETAPA OBRA'!K$1&amp;", ","")&amp;
IF(INDEX('ETAPA OBRA'!L:L,MATCH($B157,'ETAPA OBRA'!$B:$B,0))="x",'ETAPA OBRA'!L$1&amp;", ","")&amp;
IF(INDEX('ETAPA OBRA'!M:M,MATCH($B157,'ETAPA OBRA'!$B:$B,0))="x",'ETAPA OBRA'!M$1&amp;", ","")&amp;
IF(INDEX('ETAPA OBRA'!N:N,MATCH($B157,'ETAPA OBRA'!$B:$B,0))="x",'ETAPA OBRA'!N$1&amp;", ","")&amp;
IF(INDEX('ETAPA OBRA'!O:O,MATCH($B157,'ETAPA OBRA'!$B:$B,0))="x",'ETAPA OBRA'!O$1&amp;", ","")&amp;
IF(INDEX('ETAPA OBRA'!P:P,MATCH($B157,'ETAPA OBRA'!$B:$B,0))="x",'ETAPA OBRA'!P$1&amp;", ","")&amp;
IF(INDEX('ETAPA OBRA'!Q:Q,MATCH($B157,'ETAPA OBRA'!$B:$B,0))="x",'ETAPA OBRA'!Q$1&amp;", ","")&amp;
IF(INDEX('ETAPA OBRA'!R:R,MATCH($B157,'ETAPA OBRA'!$B:$B,0))="x",'ETAPA OBRA'!R$1&amp;", ","")&amp;
IF(INDEX('ETAPA OBRA'!S:S,MATCH($B157,'ETAPA OBRA'!$B:$B,0))="x",'ETAPA OBRA'!S$1&amp;", ","")&amp;
IF(INDEX('ETAPA OBRA'!T:T,MATCH($B157,'ETAPA OBRA'!$B:$B,0))="x",'ETAPA OBRA'!T$1&amp;", ","")&amp;
IF(INDEX('ETAPA OBRA'!U:U,MATCH($B157,'ETAPA OBRA'!$B:$B,0))="x",'ETAPA OBRA'!U$1&amp;", ","")
)-2),"")</f>
        <v>Survey</v>
      </c>
      <c r="N157" s="23" t="str">
        <f t="shared" ca="1" si="18"/>
        <v>Em andamento</v>
      </c>
      <c r="O157" s="28"/>
      <c r="P157" s="37">
        <f t="shared" si="19"/>
        <v>0</v>
      </c>
      <c r="Q157" s="28">
        <f t="shared" ref="Q157:Q158" si="23">O157-P157</f>
        <v>0</v>
      </c>
      <c r="R157" s="29">
        <f t="shared" ref="R157:R158" si="24">IF(O157=0,0,Q157/O157)</f>
        <v>0</v>
      </c>
      <c r="S157" s="23" t="str">
        <f t="shared" ref="S157:S158" si="25">IF(R157&gt;=0.2,"✅ OK - Fechar Parceiro","⚠️ Ajustar Custos (&lt;20%)")</f>
        <v>⚠️ Ajustar Custos (&lt;20%)</v>
      </c>
      <c r="T157" s="23" t="str">
        <f ca="1">Cronograma[[#This Row],[STATUS]]</f>
        <v>🕓 EM ANDAMENTO</v>
      </c>
    </row>
    <row r="158" spans="1:20" ht="15" customHeight="1" x14ac:dyDescent="0.3">
      <c r="A158" s="23" t="s">
        <v>477</v>
      </c>
      <c r="B158" s="23" t="str">
        <f>IF(A158&lt;&gt;"","contel-"&amp;TEXT(COUNTA($A$2:A158),"00"),"")</f>
        <v>contel-157</v>
      </c>
      <c r="C158" s="23" t="s">
        <v>120</v>
      </c>
      <c r="D158" s="23" t="s">
        <v>478</v>
      </c>
      <c r="E158" s="23" t="s">
        <v>309</v>
      </c>
      <c r="F158" s="52" t="s">
        <v>479</v>
      </c>
      <c r="G158" s="23">
        <v>1843</v>
      </c>
      <c r="H158" s="30">
        <v>16706</v>
      </c>
      <c r="I158" s="23" t="s">
        <v>297</v>
      </c>
      <c r="J158" s="25">
        <f>SUM(EQUIPE!C158,EQUIPE!E158,EQUIPE!G158,EQUIPE!I158,EQUIPE!K158,EQUIPE!M158,EQUIPE!O158)</f>
        <v>0</v>
      </c>
      <c r="K158" s="25">
        <v>0</v>
      </c>
      <c r="L158" s="25">
        <v>0</v>
      </c>
      <c r="M158" s="27" t="str">
        <f ca="1">IFERROR(LEFT(
IF(INDEX('ETAPA OBRA'!C:C,MATCH($B158,'ETAPA OBRA'!$B:$B,0))="x",'ETAPA OBRA'!C$1&amp;", ","")&amp;
IF(INDEX('ETAPA OBRA'!D:D,MATCH($B158,'ETAPA OBRA'!$B:$B,0))="x",'ETAPA OBRA'!D$1&amp;", ","")&amp;
IF(INDEX('ETAPA OBRA'!F:F,MATCH($B158,'ETAPA OBRA'!$B:$B,0))="x",'ETAPA OBRA'!F$1&amp;", ","")&amp;
IF(INDEX('ETAPA OBRA'!G:G,MATCH($B158,'ETAPA OBRA'!$B:$B,0))="x",'ETAPA OBRA'!G$1&amp;", ","")&amp;
IF(INDEX('ETAPA OBRA'!H:H,MATCH($B158,'ETAPA OBRA'!$B:$B,0))="x",'ETAPA OBRA'!H$1&amp;", ","")&amp;
IF(INDEX('ETAPA OBRA'!I:I,MATCH($B158,'ETAPA OBRA'!$B:$B,0))="x",'ETAPA OBRA'!I$1&amp;", ","")&amp;
IF(INDEX('ETAPA OBRA'!J:J,MATCH($B158,'ETAPA OBRA'!$B:$B,0))="x",'ETAPA OBRA'!J$1&amp;", ","")&amp;
IF(INDEX('ETAPA OBRA'!K:K,MATCH($B158,'ETAPA OBRA'!$B:$B,0))="x",'ETAPA OBRA'!K$1&amp;", ","")&amp;
IF(INDEX('ETAPA OBRA'!L:L,MATCH($B158,'ETAPA OBRA'!$B:$B,0))="x",'ETAPA OBRA'!L$1&amp;", ","")&amp;
IF(INDEX('ETAPA OBRA'!M:M,MATCH($B158,'ETAPA OBRA'!$B:$B,0))="x",'ETAPA OBRA'!M$1&amp;", ","")&amp;
IF(INDEX('ETAPA OBRA'!N:N,MATCH($B158,'ETAPA OBRA'!$B:$B,0))="x",'ETAPA OBRA'!N$1&amp;", ","")&amp;
IF(INDEX('ETAPA OBRA'!O:O,MATCH($B158,'ETAPA OBRA'!$B:$B,0))="x",'ETAPA OBRA'!O$1&amp;", ","")&amp;
IF(INDEX('ETAPA OBRA'!P:P,MATCH($B158,'ETAPA OBRA'!$B:$B,0))="x",'ETAPA OBRA'!P$1&amp;", ","")&amp;
IF(INDEX('ETAPA OBRA'!Q:Q,MATCH($B158,'ETAPA OBRA'!$B:$B,0))="x",'ETAPA OBRA'!Q$1&amp;", ","")&amp;
IF(INDEX('ETAPA OBRA'!R:R,MATCH($B158,'ETAPA OBRA'!$B:$B,0))="x",'ETAPA OBRA'!R$1&amp;", ","")&amp;
IF(INDEX('ETAPA OBRA'!S:S,MATCH($B158,'ETAPA OBRA'!$B:$B,0))="x",'ETAPA OBRA'!S$1&amp;", ","")&amp;
IF(INDEX('ETAPA OBRA'!T:T,MATCH($B158,'ETAPA OBRA'!$B:$B,0))="x",'ETAPA OBRA'!T$1&amp;", ","")&amp;
IF(INDEX('ETAPA OBRA'!U:U,MATCH($B158,'ETAPA OBRA'!$B:$B,0))="x",'ETAPA OBRA'!U$1&amp;", ",""),LEN(
IF(INDEX('ETAPA OBRA'!C:C,MATCH($B158,'ETAPA OBRA'!$B:$B,0))="x",'ETAPA OBRA'!C$1&amp;", ","")&amp;
IF(INDEX('ETAPA OBRA'!D:D,MATCH($B158,'ETAPA OBRA'!$B:$B,0))="x",'ETAPA OBRA'!D$1&amp;", ","")&amp;
IF(INDEX('ETAPA OBRA'!F:F,MATCH($B158,'ETAPA OBRA'!$B:$B,0))="x",'ETAPA OBRA'!F$1&amp;", ","")&amp;
IF(INDEX('ETAPA OBRA'!G:G,MATCH($B158,'ETAPA OBRA'!$B:$B,0))="x",'ETAPA OBRA'!G$1&amp;", ","")&amp;
IF(INDEX('ETAPA OBRA'!H:H,MATCH($B158,'ETAPA OBRA'!$B:$B,0))="x",'ETAPA OBRA'!H$1&amp;", ","")&amp;
IF(INDEX('ETAPA OBRA'!I:I,MATCH($B158,'ETAPA OBRA'!$B:$B,0))="x",'ETAPA OBRA'!I$1&amp;", ","")&amp;
IF(INDEX('ETAPA OBRA'!J:J,MATCH($B158,'ETAPA OBRA'!$B:$B,0))="x",'ETAPA OBRA'!J$1&amp;", ","")&amp;
IF(INDEX('ETAPA OBRA'!K:K,MATCH($B158,'ETAPA OBRA'!$B:$B,0))="x",'ETAPA OBRA'!K$1&amp;", ","")&amp;
IF(INDEX('ETAPA OBRA'!L:L,MATCH($B158,'ETAPA OBRA'!$B:$B,0))="x",'ETAPA OBRA'!L$1&amp;", ","")&amp;
IF(INDEX('ETAPA OBRA'!M:M,MATCH($B158,'ETAPA OBRA'!$B:$B,0))="x",'ETAPA OBRA'!M$1&amp;", ","")&amp;
IF(INDEX('ETAPA OBRA'!N:N,MATCH($B158,'ETAPA OBRA'!$B:$B,0))="x",'ETAPA OBRA'!N$1&amp;", ","")&amp;
IF(INDEX('ETAPA OBRA'!O:O,MATCH($B158,'ETAPA OBRA'!$B:$B,0))="x",'ETAPA OBRA'!O$1&amp;", ","")&amp;
IF(INDEX('ETAPA OBRA'!P:P,MATCH($B158,'ETAPA OBRA'!$B:$B,0))="x",'ETAPA OBRA'!P$1&amp;", ","")&amp;
IF(INDEX('ETAPA OBRA'!Q:Q,MATCH($B158,'ETAPA OBRA'!$B:$B,0))="x",'ETAPA OBRA'!Q$1&amp;", ","")&amp;
IF(INDEX('ETAPA OBRA'!R:R,MATCH($B158,'ETAPA OBRA'!$B:$B,0))="x",'ETAPA OBRA'!R$1&amp;", ","")&amp;
IF(INDEX('ETAPA OBRA'!S:S,MATCH($B158,'ETAPA OBRA'!$B:$B,0))="x",'ETAPA OBRA'!S$1&amp;", ","")&amp;
IF(INDEX('ETAPA OBRA'!T:T,MATCH($B158,'ETAPA OBRA'!$B:$B,0))="x",'ETAPA OBRA'!T$1&amp;", ","")&amp;
IF(INDEX('ETAPA OBRA'!U:U,MATCH($B158,'ETAPA OBRA'!$B:$B,0))="x",'ETAPA OBRA'!U$1&amp;", ","")
)-2),"")</f>
        <v>Survey</v>
      </c>
      <c r="N158" s="23" t="str">
        <f t="shared" ca="1" si="18"/>
        <v>Em andamento</v>
      </c>
      <c r="O158" s="28"/>
      <c r="P158" s="37">
        <f t="shared" si="19"/>
        <v>0</v>
      </c>
      <c r="Q158" s="28">
        <f t="shared" si="23"/>
        <v>0</v>
      </c>
      <c r="R158" s="29">
        <f t="shared" si="24"/>
        <v>0</v>
      </c>
      <c r="S158" s="23" t="str">
        <f t="shared" si="25"/>
        <v>⚠️ Ajustar Custos (&lt;20%)</v>
      </c>
      <c r="T158" s="23" t="str">
        <f ca="1">Cronograma[[#This Row],[STATUS]]</f>
        <v>🕓 EM ANDAMENTO</v>
      </c>
    </row>
    <row r="159" spans="1:20" ht="15" customHeight="1" x14ac:dyDescent="0.3">
      <c r="A159" s="23" t="s">
        <v>480</v>
      </c>
      <c r="B159" s="23" t="str">
        <f>IF(A159&lt;&gt;"","contel-"&amp;TEXT(COUNTA($A$2:A159),"00"),"")</f>
        <v>contel-158</v>
      </c>
      <c r="C159" s="23" t="s">
        <v>21</v>
      </c>
      <c r="D159" s="23" t="s">
        <v>481</v>
      </c>
      <c r="E159" s="23" t="s">
        <v>32</v>
      </c>
      <c r="F159" s="52" t="s">
        <v>482</v>
      </c>
      <c r="G159" s="23">
        <v>1929</v>
      </c>
      <c r="H159" s="34">
        <v>27838</v>
      </c>
      <c r="I159" s="23" t="s">
        <v>25</v>
      </c>
      <c r="J159" s="25">
        <f>SUM(EQUIPE!C159,EQUIPE!E159,EQUIPE!G159,EQUIPE!I159,EQUIPE!K159,EQUIPE!M159,EQUIPE!O159)</f>
        <v>23000</v>
      </c>
      <c r="K159" s="25">
        <v>0</v>
      </c>
      <c r="L159" s="25">
        <v>0</v>
      </c>
      <c r="M159" s="27" t="str">
        <f ca="1">IFERROR(LEFT(
IF(INDEX('ETAPA OBRA'!C:C,MATCH($B159,'ETAPA OBRA'!$B:$B,0))="x",'ETAPA OBRA'!C$1&amp;", ","")&amp;
IF(INDEX('ETAPA OBRA'!D:D,MATCH($B159,'ETAPA OBRA'!$B:$B,0))="x",'ETAPA OBRA'!D$1&amp;", ","")&amp;
IF(INDEX('ETAPA OBRA'!F:F,MATCH($B159,'ETAPA OBRA'!$B:$B,0))="x",'ETAPA OBRA'!F$1&amp;", ","")&amp;
IF(INDEX('ETAPA OBRA'!G:G,MATCH($B159,'ETAPA OBRA'!$B:$B,0))="x",'ETAPA OBRA'!G$1&amp;", ","")&amp;
IF(INDEX('ETAPA OBRA'!H:H,MATCH($B159,'ETAPA OBRA'!$B:$B,0))="x",'ETAPA OBRA'!H$1&amp;", ","")&amp;
IF(INDEX('ETAPA OBRA'!I:I,MATCH($B159,'ETAPA OBRA'!$B:$B,0))="x",'ETAPA OBRA'!I$1&amp;", ","")&amp;
IF(INDEX('ETAPA OBRA'!J:J,MATCH($B159,'ETAPA OBRA'!$B:$B,0))="x",'ETAPA OBRA'!J$1&amp;", ","")&amp;
IF(INDEX('ETAPA OBRA'!K:K,MATCH($B159,'ETAPA OBRA'!$B:$B,0))="x",'ETAPA OBRA'!K$1&amp;", ","")&amp;
IF(INDEX('ETAPA OBRA'!L:L,MATCH($B159,'ETAPA OBRA'!$B:$B,0))="x",'ETAPA OBRA'!L$1&amp;", ","")&amp;
IF(INDEX('ETAPA OBRA'!M:M,MATCH($B159,'ETAPA OBRA'!$B:$B,0))="x",'ETAPA OBRA'!M$1&amp;", ","")&amp;
IF(INDEX('ETAPA OBRA'!N:N,MATCH($B159,'ETAPA OBRA'!$B:$B,0))="x",'ETAPA OBRA'!N$1&amp;", ","")&amp;
IF(INDEX('ETAPA OBRA'!O:O,MATCH($B159,'ETAPA OBRA'!$B:$B,0))="x",'ETAPA OBRA'!O$1&amp;", ","")&amp;
IF(INDEX('ETAPA OBRA'!P:P,MATCH($B159,'ETAPA OBRA'!$B:$B,0))="x",'ETAPA OBRA'!P$1&amp;", ","")&amp;
IF(INDEX('ETAPA OBRA'!Q:Q,MATCH($B159,'ETAPA OBRA'!$B:$B,0))="x",'ETAPA OBRA'!Q$1&amp;", ","")&amp;
IF(INDEX('ETAPA OBRA'!R:R,MATCH($B159,'ETAPA OBRA'!$B:$B,0))="x",'ETAPA OBRA'!R$1&amp;", ","")&amp;
IF(INDEX('ETAPA OBRA'!S:S,MATCH($B159,'ETAPA OBRA'!$B:$B,0))="x",'ETAPA OBRA'!S$1&amp;", ","")&amp;
IF(INDEX('ETAPA OBRA'!T:T,MATCH($B159,'ETAPA OBRA'!$B:$B,0))="x",'ETAPA OBRA'!T$1&amp;", ","")&amp;
IF(INDEX('ETAPA OBRA'!U:U,MATCH($B159,'ETAPA OBRA'!$B:$B,0))="x",'ETAPA OBRA'!U$1&amp;", ",""),LEN(
IF(INDEX('ETAPA OBRA'!C:C,MATCH($B159,'ETAPA OBRA'!$B:$B,0))="x",'ETAPA OBRA'!C$1&amp;", ","")&amp;
IF(INDEX('ETAPA OBRA'!D:D,MATCH($B159,'ETAPA OBRA'!$B:$B,0))="x",'ETAPA OBRA'!D$1&amp;", ","")&amp;
IF(INDEX('ETAPA OBRA'!F:F,MATCH($B159,'ETAPA OBRA'!$B:$B,0))="x",'ETAPA OBRA'!F$1&amp;", ","")&amp;
IF(INDEX('ETAPA OBRA'!G:G,MATCH($B159,'ETAPA OBRA'!$B:$B,0))="x",'ETAPA OBRA'!G$1&amp;", ","")&amp;
IF(INDEX('ETAPA OBRA'!H:H,MATCH($B159,'ETAPA OBRA'!$B:$B,0))="x",'ETAPA OBRA'!H$1&amp;", ","")&amp;
IF(INDEX('ETAPA OBRA'!I:I,MATCH($B159,'ETAPA OBRA'!$B:$B,0))="x",'ETAPA OBRA'!I$1&amp;", ","")&amp;
IF(INDEX('ETAPA OBRA'!J:J,MATCH($B159,'ETAPA OBRA'!$B:$B,0))="x",'ETAPA OBRA'!J$1&amp;", ","")&amp;
IF(INDEX('ETAPA OBRA'!K:K,MATCH($B159,'ETAPA OBRA'!$B:$B,0))="x",'ETAPA OBRA'!K$1&amp;", ","")&amp;
IF(INDEX('ETAPA OBRA'!L:L,MATCH($B159,'ETAPA OBRA'!$B:$B,0))="x",'ETAPA OBRA'!L$1&amp;", ","")&amp;
IF(INDEX('ETAPA OBRA'!M:M,MATCH($B159,'ETAPA OBRA'!$B:$B,0))="x",'ETAPA OBRA'!M$1&amp;", ","")&amp;
IF(INDEX('ETAPA OBRA'!N:N,MATCH($B159,'ETAPA OBRA'!$B:$B,0))="x",'ETAPA OBRA'!N$1&amp;", ","")&amp;
IF(INDEX('ETAPA OBRA'!O:O,MATCH($B159,'ETAPA OBRA'!$B:$B,0))="x",'ETAPA OBRA'!O$1&amp;", ","")&amp;
IF(INDEX('ETAPA OBRA'!P:P,MATCH($B159,'ETAPA OBRA'!$B:$B,0))="x",'ETAPA OBRA'!P$1&amp;", ","")&amp;
IF(INDEX('ETAPA OBRA'!Q:Q,MATCH($B159,'ETAPA OBRA'!$B:$B,0))="x",'ETAPA OBRA'!Q$1&amp;", ","")&amp;
IF(INDEX('ETAPA OBRA'!R:R,MATCH($B159,'ETAPA OBRA'!$B:$B,0))="x",'ETAPA OBRA'!R$1&amp;", ","")&amp;
IF(INDEX('ETAPA OBRA'!S:S,MATCH($B159,'ETAPA OBRA'!$B:$B,0))="x",'ETAPA OBRA'!S$1&amp;", ","")&amp;
IF(INDEX('ETAPA OBRA'!T:T,MATCH($B159,'ETAPA OBRA'!$B:$B,0))="x",'ETAPA OBRA'!T$1&amp;", ","")&amp;
IF(INDEX('ETAPA OBRA'!U:U,MATCH($B159,'ETAPA OBRA'!$B:$B,0))="x",'ETAPA OBRA'!U$1&amp;", ","")
)-2),"")</f>
        <v>Fabricação / Galvanização</v>
      </c>
      <c r="N159" s="23" t="str">
        <f t="shared" ca="1" si="18"/>
        <v>Em andamento</v>
      </c>
      <c r="O159" s="28">
        <v>100074.53</v>
      </c>
      <c r="P159" s="37">
        <f t="shared" si="19"/>
        <v>23000</v>
      </c>
      <c r="Q159" s="28">
        <f t="shared" ref="Q159:Q164" si="26">O159-P159</f>
        <v>77074.53</v>
      </c>
      <c r="R159" s="29">
        <f t="shared" ref="R159:R164" si="27">IF(O159=0,0,Q159/O159)</f>
        <v>0.77017129133656681</v>
      </c>
      <c r="S159" s="23" t="str">
        <f t="shared" ref="S159:S164" si="28">IF(R159&gt;=0.2,"✅ OK - Fechar Parceiro","⚠️ Ajustar Custos (&lt;20%)")</f>
        <v>✅ OK - Fechar Parceiro</v>
      </c>
      <c r="T159" s="23" t="str">
        <f ca="1">Cronograma[[#This Row],[STATUS]]</f>
        <v>🕓 EM ANDAMENTO</v>
      </c>
    </row>
    <row r="160" spans="1:20" ht="15" customHeight="1" x14ac:dyDescent="0.3">
      <c r="A160" s="23" t="s">
        <v>483</v>
      </c>
      <c r="B160" s="23" t="str">
        <f>IF(A160&lt;&gt;"","contel-"&amp;TEXT(COUNTA($A$2:A160),"00"),"")</f>
        <v>contel-159</v>
      </c>
      <c r="C160" s="23" t="s">
        <v>78</v>
      </c>
      <c r="D160" s="23" t="s">
        <v>484</v>
      </c>
      <c r="E160" s="23" t="s">
        <v>93</v>
      </c>
      <c r="F160" s="52" t="s">
        <v>485</v>
      </c>
      <c r="G160" s="23">
        <v>1948</v>
      </c>
      <c r="H160" s="30">
        <v>28228</v>
      </c>
      <c r="I160" s="23" t="s">
        <v>63</v>
      </c>
      <c r="J160" s="25">
        <f>SUM(EQUIPE!C160,EQUIPE!E160,EQUIPE!G160,EQUIPE!I160,EQUIPE!K160,EQUIPE!M160,EQUIPE!O160)</f>
        <v>0</v>
      </c>
      <c r="K160" s="25">
        <v>0</v>
      </c>
      <c r="L160" s="25">
        <v>0</v>
      </c>
      <c r="M160" s="27" t="str">
        <f ca="1">IFERROR(LEFT(
IF(INDEX('ETAPA OBRA'!C:C,MATCH($B160,'ETAPA OBRA'!$B:$B,0))="x",'ETAPA OBRA'!C$1&amp;", ","")&amp;
IF(INDEX('ETAPA OBRA'!D:D,MATCH($B160,'ETAPA OBRA'!$B:$B,0))="x",'ETAPA OBRA'!D$1&amp;", ","")&amp;
IF(INDEX('ETAPA OBRA'!F:F,MATCH($B160,'ETAPA OBRA'!$B:$B,0))="x",'ETAPA OBRA'!F$1&amp;", ","")&amp;
IF(INDEX('ETAPA OBRA'!G:G,MATCH($B160,'ETAPA OBRA'!$B:$B,0))="x",'ETAPA OBRA'!G$1&amp;", ","")&amp;
IF(INDEX('ETAPA OBRA'!H:H,MATCH($B160,'ETAPA OBRA'!$B:$B,0))="x",'ETAPA OBRA'!H$1&amp;", ","")&amp;
IF(INDEX('ETAPA OBRA'!I:I,MATCH($B160,'ETAPA OBRA'!$B:$B,0))="x",'ETAPA OBRA'!I$1&amp;", ","")&amp;
IF(INDEX('ETAPA OBRA'!J:J,MATCH($B160,'ETAPA OBRA'!$B:$B,0))="x",'ETAPA OBRA'!J$1&amp;", ","")&amp;
IF(INDEX('ETAPA OBRA'!K:K,MATCH($B160,'ETAPA OBRA'!$B:$B,0))="x",'ETAPA OBRA'!K$1&amp;", ","")&amp;
IF(INDEX('ETAPA OBRA'!L:L,MATCH($B160,'ETAPA OBRA'!$B:$B,0))="x",'ETAPA OBRA'!L$1&amp;", ","")&amp;
IF(INDEX('ETAPA OBRA'!M:M,MATCH($B160,'ETAPA OBRA'!$B:$B,0))="x",'ETAPA OBRA'!M$1&amp;", ","")&amp;
IF(INDEX('ETAPA OBRA'!N:N,MATCH($B160,'ETAPA OBRA'!$B:$B,0))="x",'ETAPA OBRA'!N$1&amp;", ","")&amp;
IF(INDEX('ETAPA OBRA'!O:O,MATCH($B160,'ETAPA OBRA'!$B:$B,0))="x",'ETAPA OBRA'!O$1&amp;", ","")&amp;
IF(INDEX('ETAPA OBRA'!P:P,MATCH($B160,'ETAPA OBRA'!$B:$B,0))="x",'ETAPA OBRA'!P$1&amp;", ","")&amp;
IF(INDEX('ETAPA OBRA'!Q:Q,MATCH($B160,'ETAPA OBRA'!$B:$B,0))="x",'ETAPA OBRA'!Q$1&amp;", ","")&amp;
IF(INDEX('ETAPA OBRA'!R:R,MATCH($B160,'ETAPA OBRA'!$B:$B,0))="x",'ETAPA OBRA'!R$1&amp;", ","")&amp;
IF(INDEX('ETAPA OBRA'!S:S,MATCH($B160,'ETAPA OBRA'!$B:$B,0))="x",'ETAPA OBRA'!S$1&amp;", ","")&amp;
IF(INDEX('ETAPA OBRA'!T:T,MATCH($B160,'ETAPA OBRA'!$B:$B,0))="x",'ETAPA OBRA'!T$1&amp;", ","")&amp;
IF(INDEX('ETAPA OBRA'!U:U,MATCH($B160,'ETAPA OBRA'!$B:$B,0))="x",'ETAPA OBRA'!U$1&amp;", ",""),LEN(
IF(INDEX('ETAPA OBRA'!C:C,MATCH($B160,'ETAPA OBRA'!$B:$B,0))="x",'ETAPA OBRA'!C$1&amp;", ","")&amp;
IF(INDEX('ETAPA OBRA'!D:D,MATCH($B160,'ETAPA OBRA'!$B:$B,0))="x",'ETAPA OBRA'!D$1&amp;", ","")&amp;
IF(INDEX('ETAPA OBRA'!F:F,MATCH($B160,'ETAPA OBRA'!$B:$B,0))="x",'ETAPA OBRA'!F$1&amp;", ","")&amp;
IF(INDEX('ETAPA OBRA'!G:G,MATCH($B160,'ETAPA OBRA'!$B:$B,0))="x",'ETAPA OBRA'!G$1&amp;", ","")&amp;
IF(INDEX('ETAPA OBRA'!H:H,MATCH($B160,'ETAPA OBRA'!$B:$B,0))="x",'ETAPA OBRA'!H$1&amp;", ","")&amp;
IF(INDEX('ETAPA OBRA'!I:I,MATCH($B160,'ETAPA OBRA'!$B:$B,0))="x",'ETAPA OBRA'!I$1&amp;", ","")&amp;
IF(INDEX('ETAPA OBRA'!J:J,MATCH($B160,'ETAPA OBRA'!$B:$B,0))="x",'ETAPA OBRA'!J$1&amp;", ","")&amp;
IF(INDEX('ETAPA OBRA'!K:K,MATCH($B160,'ETAPA OBRA'!$B:$B,0))="x",'ETAPA OBRA'!K$1&amp;", ","")&amp;
IF(INDEX('ETAPA OBRA'!L:L,MATCH($B160,'ETAPA OBRA'!$B:$B,0))="x",'ETAPA OBRA'!L$1&amp;", ","")&amp;
IF(INDEX('ETAPA OBRA'!M:M,MATCH($B160,'ETAPA OBRA'!$B:$B,0))="x",'ETAPA OBRA'!M$1&amp;", ","")&amp;
IF(INDEX('ETAPA OBRA'!N:N,MATCH($B160,'ETAPA OBRA'!$B:$B,0))="x",'ETAPA OBRA'!N$1&amp;", ","")&amp;
IF(INDEX('ETAPA OBRA'!O:O,MATCH($B160,'ETAPA OBRA'!$B:$B,0))="x",'ETAPA OBRA'!O$1&amp;", ","")&amp;
IF(INDEX('ETAPA OBRA'!P:P,MATCH($B160,'ETAPA OBRA'!$B:$B,0))="x",'ETAPA OBRA'!P$1&amp;", ","")&amp;
IF(INDEX('ETAPA OBRA'!Q:Q,MATCH($B160,'ETAPA OBRA'!$B:$B,0))="x",'ETAPA OBRA'!Q$1&amp;", ","")&amp;
IF(INDEX('ETAPA OBRA'!R:R,MATCH($B160,'ETAPA OBRA'!$B:$B,0))="x",'ETAPA OBRA'!R$1&amp;", ","")&amp;
IF(INDEX('ETAPA OBRA'!S:S,MATCH($B160,'ETAPA OBRA'!$B:$B,0))="x",'ETAPA OBRA'!S$1&amp;", ","")&amp;
IF(INDEX('ETAPA OBRA'!T:T,MATCH($B160,'ETAPA OBRA'!$B:$B,0))="x",'ETAPA OBRA'!T$1&amp;", ","")&amp;
IF(INDEX('ETAPA OBRA'!U:U,MATCH($B160,'ETAPA OBRA'!$B:$B,0))="x",'ETAPA OBRA'!U$1&amp;", ","")
)-2),"")</f>
        <v>Abertura de obra, Elaboração de cronograma</v>
      </c>
      <c r="N160" s="23" t="str">
        <f t="shared" ca="1" si="18"/>
        <v>Em andamento</v>
      </c>
      <c r="O160" s="28">
        <v>65803.88</v>
      </c>
      <c r="P160" s="37">
        <f t="shared" si="19"/>
        <v>0</v>
      </c>
      <c r="Q160" s="28">
        <f t="shared" si="26"/>
        <v>65803.88</v>
      </c>
      <c r="R160" s="29">
        <f t="shared" si="27"/>
        <v>1</v>
      </c>
      <c r="S160" s="23" t="str">
        <f t="shared" si="28"/>
        <v>✅ OK - Fechar Parceiro</v>
      </c>
      <c r="T160" s="23" t="str">
        <f ca="1">Cronograma[[#This Row],[STATUS]]</f>
        <v>🕓 EM ANDAMENTO</v>
      </c>
    </row>
    <row r="161" spans="1:20" ht="15" customHeight="1" x14ac:dyDescent="0.3">
      <c r="A161" s="23" t="s">
        <v>486</v>
      </c>
      <c r="B161" s="23" t="str">
        <f>IF(A161&lt;&gt;"","contel-"&amp;TEXT(COUNTA($A$2:A161),"00"),"")</f>
        <v>contel-160</v>
      </c>
      <c r="C161" s="23" t="s">
        <v>487</v>
      </c>
      <c r="D161" s="23" t="s">
        <v>27</v>
      </c>
      <c r="E161" s="23" t="s">
        <v>28</v>
      </c>
      <c r="F161" s="53" t="s">
        <v>488</v>
      </c>
      <c r="G161" s="23">
        <v>1952</v>
      </c>
      <c r="H161" s="35">
        <v>28248</v>
      </c>
      <c r="I161" s="23" t="s">
        <v>63</v>
      </c>
      <c r="J161" s="25">
        <f>SUM(EQUIPE!C161,EQUIPE!E161,EQUIPE!G161,EQUIPE!I161,EQUIPE!K161,EQUIPE!M161,EQUIPE!O161)</f>
        <v>0</v>
      </c>
      <c r="K161" s="25">
        <v>0</v>
      </c>
      <c r="L161" s="25">
        <v>0</v>
      </c>
      <c r="M161" s="27" t="str">
        <f ca="1">IFERROR(LEFT(
IF(INDEX('ETAPA OBRA'!C:C,MATCH($B161,'ETAPA OBRA'!$B:$B,0))="x",'ETAPA OBRA'!C$1&amp;", ","")&amp;
IF(INDEX('ETAPA OBRA'!D:D,MATCH($B161,'ETAPA OBRA'!$B:$B,0))="x",'ETAPA OBRA'!D$1&amp;", ","")&amp;
IF(INDEX('ETAPA OBRA'!F:F,MATCH($B161,'ETAPA OBRA'!$B:$B,0))="x",'ETAPA OBRA'!F$1&amp;", ","")&amp;
IF(INDEX('ETAPA OBRA'!G:G,MATCH($B161,'ETAPA OBRA'!$B:$B,0))="x",'ETAPA OBRA'!G$1&amp;", ","")&amp;
IF(INDEX('ETAPA OBRA'!H:H,MATCH($B161,'ETAPA OBRA'!$B:$B,0))="x",'ETAPA OBRA'!H$1&amp;", ","")&amp;
IF(INDEX('ETAPA OBRA'!I:I,MATCH($B161,'ETAPA OBRA'!$B:$B,0))="x",'ETAPA OBRA'!I$1&amp;", ","")&amp;
IF(INDEX('ETAPA OBRA'!J:J,MATCH($B161,'ETAPA OBRA'!$B:$B,0))="x",'ETAPA OBRA'!J$1&amp;", ","")&amp;
IF(INDEX('ETAPA OBRA'!K:K,MATCH($B161,'ETAPA OBRA'!$B:$B,0))="x",'ETAPA OBRA'!K$1&amp;", ","")&amp;
IF(INDEX('ETAPA OBRA'!L:L,MATCH($B161,'ETAPA OBRA'!$B:$B,0))="x",'ETAPA OBRA'!L$1&amp;", ","")&amp;
IF(INDEX('ETAPA OBRA'!M:M,MATCH($B161,'ETAPA OBRA'!$B:$B,0))="x",'ETAPA OBRA'!M$1&amp;", ","")&amp;
IF(INDEX('ETAPA OBRA'!N:N,MATCH($B161,'ETAPA OBRA'!$B:$B,0))="x",'ETAPA OBRA'!N$1&amp;", ","")&amp;
IF(INDEX('ETAPA OBRA'!O:O,MATCH($B161,'ETAPA OBRA'!$B:$B,0))="x",'ETAPA OBRA'!O$1&amp;", ","")&amp;
IF(INDEX('ETAPA OBRA'!P:P,MATCH($B161,'ETAPA OBRA'!$B:$B,0))="x",'ETAPA OBRA'!P$1&amp;", ","")&amp;
IF(INDEX('ETAPA OBRA'!Q:Q,MATCH($B161,'ETAPA OBRA'!$B:$B,0))="x",'ETAPA OBRA'!Q$1&amp;", ","")&amp;
IF(INDEX('ETAPA OBRA'!R:R,MATCH($B161,'ETAPA OBRA'!$B:$B,0))="x",'ETAPA OBRA'!R$1&amp;", ","")&amp;
IF(INDEX('ETAPA OBRA'!S:S,MATCH($B161,'ETAPA OBRA'!$B:$B,0))="x",'ETAPA OBRA'!S$1&amp;", ","")&amp;
IF(INDEX('ETAPA OBRA'!T:T,MATCH($B161,'ETAPA OBRA'!$B:$B,0))="x",'ETAPA OBRA'!T$1&amp;", ","")&amp;
IF(INDEX('ETAPA OBRA'!U:U,MATCH($B161,'ETAPA OBRA'!$B:$B,0))="x",'ETAPA OBRA'!U$1&amp;", ",""),LEN(
IF(INDEX('ETAPA OBRA'!C:C,MATCH($B161,'ETAPA OBRA'!$B:$B,0))="x",'ETAPA OBRA'!C$1&amp;", ","")&amp;
IF(INDEX('ETAPA OBRA'!D:D,MATCH($B161,'ETAPA OBRA'!$B:$B,0))="x",'ETAPA OBRA'!D$1&amp;", ","")&amp;
IF(INDEX('ETAPA OBRA'!F:F,MATCH($B161,'ETAPA OBRA'!$B:$B,0))="x",'ETAPA OBRA'!F$1&amp;", ","")&amp;
IF(INDEX('ETAPA OBRA'!G:G,MATCH($B161,'ETAPA OBRA'!$B:$B,0))="x",'ETAPA OBRA'!G$1&amp;", ","")&amp;
IF(INDEX('ETAPA OBRA'!H:H,MATCH($B161,'ETAPA OBRA'!$B:$B,0))="x",'ETAPA OBRA'!H$1&amp;", ","")&amp;
IF(INDEX('ETAPA OBRA'!I:I,MATCH($B161,'ETAPA OBRA'!$B:$B,0))="x",'ETAPA OBRA'!I$1&amp;", ","")&amp;
IF(INDEX('ETAPA OBRA'!J:J,MATCH($B161,'ETAPA OBRA'!$B:$B,0))="x",'ETAPA OBRA'!J$1&amp;", ","")&amp;
IF(INDEX('ETAPA OBRA'!K:K,MATCH($B161,'ETAPA OBRA'!$B:$B,0))="x",'ETAPA OBRA'!K$1&amp;", ","")&amp;
IF(INDEX('ETAPA OBRA'!L:L,MATCH($B161,'ETAPA OBRA'!$B:$B,0))="x",'ETAPA OBRA'!L$1&amp;", ","")&amp;
IF(INDEX('ETAPA OBRA'!M:M,MATCH($B161,'ETAPA OBRA'!$B:$B,0))="x",'ETAPA OBRA'!M$1&amp;", ","")&amp;
IF(INDEX('ETAPA OBRA'!N:N,MATCH($B161,'ETAPA OBRA'!$B:$B,0))="x",'ETAPA OBRA'!N$1&amp;", ","")&amp;
IF(INDEX('ETAPA OBRA'!O:O,MATCH($B161,'ETAPA OBRA'!$B:$B,0))="x",'ETAPA OBRA'!O$1&amp;", ","")&amp;
IF(INDEX('ETAPA OBRA'!P:P,MATCH($B161,'ETAPA OBRA'!$B:$B,0))="x",'ETAPA OBRA'!P$1&amp;", ","")&amp;
IF(INDEX('ETAPA OBRA'!Q:Q,MATCH($B161,'ETAPA OBRA'!$B:$B,0))="x",'ETAPA OBRA'!Q$1&amp;", ","")&amp;
IF(INDEX('ETAPA OBRA'!R:R,MATCH($B161,'ETAPA OBRA'!$B:$B,0))="x",'ETAPA OBRA'!R$1&amp;", ","")&amp;
IF(INDEX('ETAPA OBRA'!S:S,MATCH($B161,'ETAPA OBRA'!$B:$B,0))="x",'ETAPA OBRA'!S$1&amp;", ","")&amp;
IF(INDEX('ETAPA OBRA'!T:T,MATCH($B161,'ETAPA OBRA'!$B:$B,0))="x",'ETAPA OBRA'!T$1&amp;", ","")&amp;
IF(INDEX('ETAPA OBRA'!U:U,MATCH($B161,'ETAPA OBRA'!$B:$B,0))="x",'ETAPA OBRA'!U$1&amp;", ","")
)-2),"")</f>
        <v>Elaboração de cronograma, Projeto</v>
      </c>
      <c r="N161" s="23" t="str">
        <f t="shared" ca="1" si="18"/>
        <v>Em andamento</v>
      </c>
      <c r="O161" s="28">
        <v>264275.99</v>
      </c>
      <c r="P161" s="37">
        <f t="shared" si="19"/>
        <v>0</v>
      </c>
      <c r="Q161" s="28">
        <f t="shared" si="26"/>
        <v>264275.99</v>
      </c>
      <c r="R161" s="29">
        <f t="shared" si="27"/>
        <v>1</v>
      </c>
      <c r="S161" s="23" t="str">
        <f t="shared" si="28"/>
        <v>✅ OK - Fechar Parceiro</v>
      </c>
      <c r="T161" s="23" t="str">
        <f ca="1">Cronograma[[#This Row],[STATUS]]</f>
        <v>🕓 EM ANDAMENTO</v>
      </c>
    </row>
    <row r="162" spans="1:20" ht="15" customHeight="1" x14ac:dyDescent="0.3">
      <c r="A162" s="23" t="s">
        <v>489</v>
      </c>
      <c r="B162" s="23" t="str">
        <f>IF(A162&lt;&gt;"","contel-"&amp;TEXT(COUNTA($A$2:A162),"00"),"")</f>
        <v>contel-161</v>
      </c>
      <c r="C162" s="23" t="s">
        <v>487</v>
      </c>
      <c r="D162" s="23" t="s">
        <v>27</v>
      </c>
      <c r="E162" s="23" t="s">
        <v>28</v>
      </c>
      <c r="F162" s="53" t="s">
        <v>490</v>
      </c>
      <c r="G162" s="23">
        <v>1951</v>
      </c>
      <c r="H162" s="33">
        <v>28247</v>
      </c>
      <c r="I162" s="23" t="s">
        <v>63</v>
      </c>
      <c r="J162" s="25">
        <f>SUM(EQUIPE!C162,EQUIPE!E162,EQUIPE!G162,EQUIPE!I162,EQUIPE!K162,EQUIPE!M162,EQUIPE!O162)</f>
        <v>0</v>
      </c>
      <c r="K162" s="25">
        <v>0</v>
      </c>
      <c r="L162" s="25">
        <v>0</v>
      </c>
      <c r="M162" s="27" t="str">
        <f ca="1">IFERROR(LEFT(
IF(INDEX('ETAPA OBRA'!C:C,MATCH($B162,'ETAPA OBRA'!$B:$B,0))="x",'ETAPA OBRA'!C$1&amp;", ","")&amp;
IF(INDEX('ETAPA OBRA'!D:D,MATCH($B162,'ETAPA OBRA'!$B:$B,0))="x",'ETAPA OBRA'!D$1&amp;", ","")&amp;
IF(INDEX('ETAPA OBRA'!F:F,MATCH($B162,'ETAPA OBRA'!$B:$B,0))="x",'ETAPA OBRA'!F$1&amp;", ","")&amp;
IF(INDEX('ETAPA OBRA'!G:G,MATCH($B162,'ETAPA OBRA'!$B:$B,0))="x",'ETAPA OBRA'!G$1&amp;", ","")&amp;
IF(INDEX('ETAPA OBRA'!H:H,MATCH($B162,'ETAPA OBRA'!$B:$B,0))="x",'ETAPA OBRA'!H$1&amp;", ","")&amp;
IF(INDEX('ETAPA OBRA'!I:I,MATCH($B162,'ETAPA OBRA'!$B:$B,0))="x",'ETAPA OBRA'!I$1&amp;", ","")&amp;
IF(INDEX('ETAPA OBRA'!J:J,MATCH($B162,'ETAPA OBRA'!$B:$B,0))="x",'ETAPA OBRA'!J$1&amp;", ","")&amp;
IF(INDEX('ETAPA OBRA'!K:K,MATCH($B162,'ETAPA OBRA'!$B:$B,0))="x",'ETAPA OBRA'!K$1&amp;", ","")&amp;
IF(INDEX('ETAPA OBRA'!L:L,MATCH($B162,'ETAPA OBRA'!$B:$B,0))="x",'ETAPA OBRA'!L$1&amp;", ","")&amp;
IF(INDEX('ETAPA OBRA'!M:M,MATCH($B162,'ETAPA OBRA'!$B:$B,0))="x",'ETAPA OBRA'!M$1&amp;", ","")&amp;
IF(INDEX('ETAPA OBRA'!N:N,MATCH($B162,'ETAPA OBRA'!$B:$B,0))="x",'ETAPA OBRA'!N$1&amp;", ","")&amp;
IF(INDEX('ETAPA OBRA'!O:O,MATCH($B162,'ETAPA OBRA'!$B:$B,0))="x",'ETAPA OBRA'!O$1&amp;", ","")&amp;
IF(INDEX('ETAPA OBRA'!P:P,MATCH($B162,'ETAPA OBRA'!$B:$B,0))="x",'ETAPA OBRA'!P$1&amp;", ","")&amp;
IF(INDEX('ETAPA OBRA'!Q:Q,MATCH($B162,'ETAPA OBRA'!$B:$B,0))="x",'ETAPA OBRA'!Q$1&amp;", ","")&amp;
IF(INDEX('ETAPA OBRA'!R:R,MATCH($B162,'ETAPA OBRA'!$B:$B,0))="x",'ETAPA OBRA'!R$1&amp;", ","")&amp;
IF(INDEX('ETAPA OBRA'!S:S,MATCH($B162,'ETAPA OBRA'!$B:$B,0))="x",'ETAPA OBRA'!S$1&amp;", ","")&amp;
IF(INDEX('ETAPA OBRA'!T:T,MATCH($B162,'ETAPA OBRA'!$B:$B,0))="x",'ETAPA OBRA'!T$1&amp;", ","")&amp;
IF(INDEX('ETAPA OBRA'!U:U,MATCH($B162,'ETAPA OBRA'!$B:$B,0))="x",'ETAPA OBRA'!U$1&amp;", ",""),LEN(
IF(INDEX('ETAPA OBRA'!C:C,MATCH($B162,'ETAPA OBRA'!$B:$B,0))="x",'ETAPA OBRA'!C$1&amp;", ","")&amp;
IF(INDEX('ETAPA OBRA'!D:D,MATCH($B162,'ETAPA OBRA'!$B:$B,0))="x",'ETAPA OBRA'!D$1&amp;", ","")&amp;
IF(INDEX('ETAPA OBRA'!F:F,MATCH($B162,'ETAPA OBRA'!$B:$B,0))="x",'ETAPA OBRA'!F$1&amp;", ","")&amp;
IF(INDEX('ETAPA OBRA'!G:G,MATCH($B162,'ETAPA OBRA'!$B:$B,0))="x",'ETAPA OBRA'!G$1&amp;", ","")&amp;
IF(INDEX('ETAPA OBRA'!H:H,MATCH($B162,'ETAPA OBRA'!$B:$B,0))="x",'ETAPA OBRA'!H$1&amp;", ","")&amp;
IF(INDEX('ETAPA OBRA'!I:I,MATCH($B162,'ETAPA OBRA'!$B:$B,0))="x",'ETAPA OBRA'!I$1&amp;", ","")&amp;
IF(INDEX('ETAPA OBRA'!J:J,MATCH($B162,'ETAPA OBRA'!$B:$B,0))="x",'ETAPA OBRA'!J$1&amp;", ","")&amp;
IF(INDEX('ETAPA OBRA'!K:K,MATCH($B162,'ETAPA OBRA'!$B:$B,0))="x",'ETAPA OBRA'!K$1&amp;", ","")&amp;
IF(INDEX('ETAPA OBRA'!L:L,MATCH($B162,'ETAPA OBRA'!$B:$B,0))="x",'ETAPA OBRA'!L$1&amp;", ","")&amp;
IF(INDEX('ETAPA OBRA'!M:M,MATCH($B162,'ETAPA OBRA'!$B:$B,0))="x",'ETAPA OBRA'!M$1&amp;", ","")&amp;
IF(INDEX('ETAPA OBRA'!N:N,MATCH($B162,'ETAPA OBRA'!$B:$B,0))="x",'ETAPA OBRA'!N$1&amp;", ","")&amp;
IF(INDEX('ETAPA OBRA'!O:O,MATCH($B162,'ETAPA OBRA'!$B:$B,0))="x",'ETAPA OBRA'!O$1&amp;", ","")&amp;
IF(INDEX('ETAPA OBRA'!P:P,MATCH($B162,'ETAPA OBRA'!$B:$B,0))="x",'ETAPA OBRA'!P$1&amp;", ","")&amp;
IF(INDEX('ETAPA OBRA'!Q:Q,MATCH($B162,'ETAPA OBRA'!$B:$B,0))="x",'ETAPA OBRA'!Q$1&amp;", ","")&amp;
IF(INDEX('ETAPA OBRA'!R:R,MATCH($B162,'ETAPA OBRA'!$B:$B,0))="x",'ETAPA OBRA'!R$1&amp;", ","")&amp;
IF(INDEX('ETAPA OBRA'!S:S,MATCH($B162,'ETAPA OBRA'!$B:$B,0))="x",'ETAPA OBRA'!S$1&amp;", ","")&amp;
IF(INDEX('ETAPA OBRA'!T:T,MATCH($B162,'ETAPA OBRA'!$B:$B,0))="x",'ETAPA OBRA'!T$1&amp;", ","")&amp;
IF(INDEX('ETAPA OBRA'!U:U,MATCH($B162,'ETAPA OBRA'!$B:$B,0))="x",'ETAPA OBRA'!U$1&amp;", ","")
)-2),"")</f>
        <v>Elaboração de cronograma, Projeto</v>
      </c>
      <c r="N162" s="23" t="str">
        <f t="shared" ref="N162:N170" ca="1" si="29">IF(M162="","Não iniciada",
IF(ISNUMBER(FIND("Cancelada",M162)),"Cancelada",
IF(ISNUMBER(FIND("Paralisada",M162)),"Paralisada",
IF(ISNUMBER(FIND("Finalizado",M162)),"Finalizado",
"Em andamento"))))</f>
        <v>Em andamento</v>
      </c>
      <c r="O162" s="28">
        <v>177911.79</v>
      </c>
      <c r="P162" s="37">
        <f t="shared" si="19"/>
        <v>0</v>
      </c>
      <c r="Q162" s="28">
        <f t="shared" si="26"/>
        <v>177911.79</v>
      </c>
      <c r="R162" s="29">
        <f t="shared" si="27"/>
        <v>1</v>
      </c>
      <c r="S162" s="23" t="str">
        <f t="shared" si="28"/>
        <v>✅ OK - Fechar Parceiro</v>
      </c>
      <c r="T162" s="23" t="str">
        <f ca="1">Cronograma[[#This Row],[STATUS]]</f>
        <v>🕓 EM ANDAMENTO</v>
      </c>
    </row>
    <row r="163" spans="1:20" ht="15" customHeight="1" x14ac:dyDescent="0.3">
      <c r="A163" s="23" t="s">
        <v>491</v>
      </c>
      <c r="B163" s="23" t="str">
        <f>IF(A163&lt;&gt;"","contel-"&amp;TEXT(COUNTA($A$2:A163),"00"),"")</f>
        <v>contel-162</v>
      </c>
      <c r="C163" s="23" t="s">
        <v>487</v>
      </c>
      <c r="D163" s="23" t="s">
        <v>27</v>
      </c>
      <c r="E163" s="23" t="s">
        <v>28</v>
      </c>
      <c r="F163" s="53" t="s">
        <v>492</v>
      </c>
      <c r="G163" s="23">
        <v>1950</v>
      </c>
      <c r="H163" s="33">
        <v>28246</v>
      </c>
      <c r="I163" s="23" t="s">
        <v>63</v>
      </c>
      <c r="J163" s="25">
        <f>SUM(EQUIPE!C163,EQUIPE!E163,EQUIPE!G163,EQUIPE!I163,EQUIPE!K163,EQUIPE!M163,EQUIPE!O163)</f>
        <v>0</v>
      </c>
      <c r="K163" s="25">
        <v>0</v>
      </c>
      <c r="L163" s="25">
        <v>0</v>
      </c>
      <c r="M163" s="27" t="str">
        <f ca="1">IFERROR(LEFT(
IF(INDEX('ETAPA OBRA'!C:C,MATCH($B163,'ETAPA OBRA'!$B:$B,0))="x",'ETAPA OBRA'!C$1&amp;", ","")&amp;
IF(INDEX('ETAPA OBRA'!D:D,MATCH($B163,'ETAPA OBRA'!$B:$B,0))="x",'ETAPA OBRA'!D$1&amp;", ","")&amp;
IF(INDEX('ETAPA OBRA'!F:F,MATCH($B163,'ETAPA OBRA'!$B:$B,0))="x",'ETAPA OBRA'!F$1&amp;", ","")&amp;
IF(INDEX('ETAPA OBRA'!G:G,MATCH($B163,'ETAPA OBRA'!$B:$B,0))="x",'ETAPA OBRA'!G$1&amp;", ","")&amp;
IF(INDEX('ETAPA OBRA'!H:H,MATCH($B163,'ETAPA OBRA'!$B:$B,0))="x",'ETAPA OBRA'!H$1&amp;", ","")&amp;
IF(INDEX('ETAPA OBRA'!I:I,MATCH($B163,'ETAPA OBRA'!$B:$B,0))="x",'ETAPA OBRA'!I$1&amp;", ","")&amp;
IF(INDEX('ETAPA OBRA'!J:J,MATCH($B163,'ETAPA OBRA'!$B:$B,0))="x",'ETAPA OBRA'!J$1&amp;", ","")&amp;
IF(INDEX('ETAPA OBRA'!K:K,MATCH($B163,'ETAPA OBRA'!$B:$B,0))="x",'ETAPA OBRA'!K$1&amp;", ","")&amp;
IF(INDEX('ETAPA OBRA'!L:L,MATCH($B163,'ETAPA OBRA'!$B:$B,0))="x",'ETAPA OBRA'!L$1&amp;", ","")&amp;
IF(INDEX('ETAPA OBRA'!M:M,MATCH($B163,'ETAPA OBRA'!$B:$B,0))="x",'ETAPA OBRA'!M$1&amp;", ","")&amp;
IF(INDEX('ETAPA OBRA'!N:N,MATCH($B163,'ETAPA OBRA'!$B:$B,0))="x",'ETAPA OBRA'!N$1&amp;", ","")&amp;
IF(INDEX('ETAPA OBRA'!O:O,MATCH($B163,'ETAPA OBRA'!$B:$B,0))="x",'ETAPA OBRA'!O$1&amp;", ","")&amp;
IF(INDEX('ETAPA OBRA'!P:P,MATCH($B163,'ETAPA OBRA'!$B:$B,0))="x",'ETAPA OBRA'!P$1&amp;", ","")&amp;
IF(INDEX('ETAPA OBRA'!Q:Q,MATCH($B163,'ETAPA OBRA'!$B:$B,0))="x",'ETAPA OBRA'!Q$1&amp;", ","")&amp;
IF(INDEX('ETAPA OBRA'!R:R,MATCH($B163,'ETAPA OBRA'!$B:$B,0))="x",'ETAPA OBRA'!R$1&amp;", ","")&amp;
IF(INDEX('ETAPA OBRA'!S:S,MATCH($B163,'ETAPA OBRA'!$B:$B,0))="x",'ETAPA OBRA'!S$1&amp;", ","")&amp;
IF(INDEX('ETAPA OBRA'!T:T,MATCH($B163,'ETAPA OBRA'!$B:$B,0))="x",'ETAPA OBRA'!T$1&amp;", ","")&amp;
IF(INDEX('ETAPA OBRA'!U:U,MATCH($B163,'ETAPA OBRA'!$B:$B,0))="x",'ETAPA OBRA'!U$1&amp;", ",""),LEN(
IF(INDEX('ETAPA OBRA'!C:C,MATCH($B163,'ETAPA OBRA'!$B:$B,0))="x",'ETAPA OBRA'!C$1&amp;", ","")&amp;
IF(INDEX('ETAPA OBRA'!D:D,MATCH($B163,'ETAPA OBRA'!$B:$B,0))="x",'ETAPA OBRA'!D$1&amp;", ","")&amp;
IF(INDEX('ETAPA OBRA'!F:F,MATCH($B163,'ETAPA OBRA'!$B:$B,0))="x",'ETAPA OBRA'!F$1&amp;", ","")&amp;
IF(INDEX('ETAPA OBRA'!G:G,MATCH($B163,'ETAPA OBRA'!$B:$B,0))="x",'ETAPA OBRA'!G$1&amp;", ","")&amp;
IF(INDEX('ETAPA OBRA'!H:H,MATCH($B163,'ETAPA OBRA'!$B:$B,0))="x",'ETAPA OBRA'!H$1&amp;", ","")&amp;
IF(INDEX('ETAPA OBRA'!I:I,MATCH($B163,'ETAPA OBRA'!$B:$B,0))="x",'ETAPA OBRA'!I$1&amp;", ","")&amp;
IF(INDEX('ETAPA OBRA'!J:J,MATCH($B163,'ETAPA OBRA'!$B:$B,0))="x",'ETAPA OBRA'!J$1&amp;", ","")&amp;
IF(INDEX('ETAPA OBRA'!K:K,MATCH($B163,'ETAPA OBRA'!$B:$B,0))="x",'ETAPA OBRA'!K$1&amp;", ","")&amp;
IF(INDEX('ETAPA OBRA'!L:L,MATCH($B163,'ETAPA OBRA'!$B:$B,0))="x",'ETAPA OBRA'!L$1&amp;", ","")&amp;
IF(INDEX('ETAPA OBRA'!M:M,MATCH($B163,'ETAPA OBRA'!$B:$B,0))="x",'ETAPA OBRA'!M$1&amp;", ","")&amp;
IF(INDEX('ETAPA OBRA'!N:N,MATCH($B163,'ETAPA OBRA'!$B:$B,0))="x",'ETAPA OBRA'!N$1&amp;", ","")&amp;
IF(INDEX('ETAPA OBRA'!O:O,MATCH($B163,'ETAPA OBRA'!$B:$B,0))="x",'ETAPA OBRA'!O$1&amp;", ","")&amp;
IF(INDEX('ETAPA OBRA'!P:P,MATCH($B163,'ETAPA OBRA'!$B:$B,0))="x",'ETAPA OBRA'!P$1&amp;", ","")&amp;
IF(INDEX('ETAPA OBRA'!Q:Q,MATCH($B163,'ETAPA OBRA'!$B:$B,0))="x",'ETAPA OBRA'!Q$1&amp;", ","")&amp;
IF(INDEX('ETAPA OBRA'!R:R,MATCH($B163,'ETAPA OBRA'!$B:$B,0))="x",'ETAPA OBRA'!R$1&amp;", ","")&amp;
IF(INDEX('ETAPA OBRA'!S:S,MATCH($B163,'ETAPA OBRA'!$B:$B,0))="x",'ETAPA OBRA'!S$1&amp;", ","")&amp;
IF(INDEX('ETAPA OBRA'!T:T,MATCH($B163,'ETAPA OBRA'!$B:$B,0))="x",'ETAPA OBRA'!T$1&amp;", ","")&amp;
IF(INDEX('ETAPA OBRA'!U:U,MATCH($B163,'ETAPA OBRA'!$B:$B,0))="x",'ETAPA OBRA'!U$1&amp;", ","")
)-2),"")</f>
        <v>Elaboração de cronograma, Projeto</v>
      </c>
      <c r="N163" s="23" t="str">
        <f t="shared" ca="1" si="29"/>
        <v>Em andamento</v>
      </c>
      <c r="O163" s="28">
        <v>269910.93</v>
      </c>
      <c r="P163" s="37">
        <f t="shared" si="19"/>
        <v>0</v>
      </c>
      <c r="Q163" s="28">
        <f t="shared" si="26"/>
        <v>269910.93</v>
      </c>
      <c r="R163" s="29">
        <f t="shared" si="27"/>
        <v>1</v>
      </c>
      <c r="S163" s="23" t="str">
        <f t="shared" si="28"/>
        <v>✅ OK - Fechar Parceiro</v>
      </c>
      <c r="T163" s="23" t="str">
        <f ca="1">Cronograma[[#This Row],[STATUS]]</f>
        <v>🕓 EM ANDAMENTO</v>
      </c>
    </row>
    <row r="164" spans="1:20" ht="15" customHeight="1" x14ac:dyDescent="0.3">
      <c r="A164" s="23" t="s">
        <v>493</v>
      </c>
      <c r="B164" s="23" t="str">
        <f>IF(A164&lt;&gt;"","contel-"&amp;TEXT(COUNTA($A$2:A164),"00"),"")</f>
        <v>contel-163</v>
      </c>
      <c r="C164" s="23" t="s">
        <v>487</v>
      </c>
      <c r="D164" s="23" t="s">
        <v>27</v>
      </c>
      <c r="E164" s="23" t="s">
        <v>28</v>
      </c>
      <c r="F164" s="53" t="s">
        <v>494</v>
      </c>
      <c r="G164" s="23">
        <v>1949</v>
      </c>
      <c r="H164" s="33">
        <v>28245</v>
      </c>
      <c r="I164" s="23" t="s">
        <v>63</v>
      </c>
      <c r="J164" s="25">
        <f>SUM(EQUIPE!C164,EQUIPE!E164,EQUIPE!G164,EQUIPE!I164,EQUIPE!K164,EQUIPE!M164,EQUIPE!O164)</f>
        <v>0</v>
      </c>
      <c r="K164" s="25">
        <v>0</v>
      </c>
      <c r="L164" s="25">
        <v>0</v>
      </c>
      <c r="M164" s="27" t="str">
        <f ca="1">IFERROR(LEFT(
IF(INDEX('ETAPA OBRA'!C:C,MATCH($B164,'ETAPA OBRA'!$B:$B,0))="x",'ETAPA OBRA'!C$1&amp;", ","")&amp;
IF(INDEX('ETAPA OBRA'!D:D,MATCH($B164,'ETAPA OBRA'!$B:$B,0))="x",'ETAPA OBRA'!D$1&amp;", ","")&amp;
IF(INDEX('ETAPA OBRA'!F:F,MATCH($B164,'ETAPA OBRA'!$B:$B,0))="x",'ETAPA OBRA'!F$1&amp;", ","")&amp;
IF(INDEX('ETAPA OBRA'!G:G,MATCH($B164,'ETAPA OBRA'!$B:$B,0))="x",'ETAPA OBRA'!G$1&amp;", ","")&amp;
IF(INDEX('ETAPA OBRA'!H:H,MATCH($B164,'ETAPA OBRA'!$B:$B,0))="x",'ETAPA OBRA'!H$1&amp;", ","")&amp;
IF(INDEX('ETAPA OBRA'!I:I,MATCH($B164,'ETAPA OBRA'!$B:$B,0))="x",'ETAPA OBRA'!I$1&amp;", ","")&amp;
IF(INDEX('ETAPA OBRA'!J:J,MATCH($B164,'ETAPA OBRA'!$B:$B,0))="x",'ETAPA OBRA'!J$1&amp;", ","")&amp;
IF(INDEX('ETAPA OBRA'!K:K,MATCH($B164,'ETAPA OBRA'!$B:$B,0))="x",'ETAPA OBRA'!K$1&amp;", ","")&amp;
IF(INDEX('ETAPA OBRA'!L:L,MATCH($B164,'ETAPA OBRA'!$B:$B,0))="x",'ETAPA OBRA'!L$1&amp;", ","")&amp;
IF(INDEX('ETAPA OBRA'!M:M,MATCH($B164,'ETAPA OBRA'!$B:$B,0))="x",'ETAPA OBRA'!M$1&amp;", ","")&amp;
IF(INDEX('ETAPA OBRA'!N:N,MATCH($B164,'ETAPA OBRA'!$B:$B,0))="x",'ETAPA OBRA'!N$1&amp;", ","")&amp;
IF(INDEX('ETAPA OBRA'!O:O,MATCH($B164,'ETAPA OBRA'!$B:$B,0))="x",'ETAPA OBRA'!O$1&amp;", ","")&amp;
IF(INDEX('ETAPA OBRA'!P:P,MATCH($B164,'ETAPA OBRA'!$B:$B,0))="x",'ETAPA OBRA'!P$1&amp;", ","")&amp;
IF(INDEX('ETAPA OBRA'!Q:Q,MATCH($B164,'ETAPA OBRA'!$B:$B,0))="x",'ETAPA OBRA'!Q$1&amp;", ","")&amp;
IF(INDEX('ETAPA OBRA'!R:R,MATCH($B164,'ETAPA OBRA'!$B:$B,0))="x",'ETAPA OBRA'!R$1&amp;", ","")&amp;
IF(INDEX('ETAPA OBRA'!S:S,MATCH($B164,'ETAPA OBRA'!$B:$B,0))="x",'ETAPA OBRA'!S$1&amp;", ","")&amp;
IF(INDEX('ETAPA OBRA'!T:T,MATCH($B164,'ETAPA OBRA'!$B:$B,0))="x",'ETAPA OBRA'!T$1&amp;", ","")&amp;
IF(INDEX('ETAPA OBRA'!U:U,MATCH($B164,'ETAPA OBRA'!$B:$B,0))="x",'ETAPA OBRA'!U$1&amp;", ",""),LEN(
IF(INDEX('ETAPA OBRA'!C:C,MATCH($B164,'ETAPA OBRA'!$B:$B,0))="x",'ETAPA OBRA'!C$1&amp;", ","")&amp;
IF(INDEX('ETAPA OBRA'!D:D,MATCH($B164,'ETAPA OBRA'!$B:$B,0))="x",'ETAPA OBRA'!D$1&amp;", ","")&amp;
IF(INDEX('ETAPA OBRA'!F:F,MATCH($B164,'ETAPA OBRA'!$B:$B,0))="x",'ETAPA OBRA'!F$1&amp;", ","")&amp;
IF(INDEX('ETAPA OBRA'!G:G,MATCH($B164,'ETAPA OBRA'!$B:$B,0))="x",'ETAPA OBRA'!G$1&amp;", ","")&amp;
IF(INDEX('ETAPA OBRA'!H:H,MATCH($B164,'ETAPA OBRA'!$B:$B,0))="x",'ETAPA OBRA'!H$1&amp;", ","")&amp;
IF(INDEX('ETAPA OBRA'!I:I,MATCH($B164,'ETAPA OBRA'!$B:$B,0))="x",'ETAPA OBRA'!I$1&amp;", ","")&amp;
IF(INDEX('ETAPA OBRA'!J:J,MATCH($B164,'ETAPA OBRA'!$B:$B,0))="x",'ETAPA OBRA'!J$1&amp;", ","")&amp;
IF(INDEX('ETAPA OBRA'!K:K,MATCH($B164,'ETAPA OBRA'!$B:$B,0))="x",'ETAPA OBRA'!K$1&amp;", ","")&amp;
IF(INDEX('ETAPA OBRA'!L:L,MATCH($B164,'ETAPA OBRA'!$B:$B,0))="x",'ETAPA OBRA'!L$1&amp;", ","")&amp;
IF(INDEX('ETAPA OBRA'!M:M,MATCH($B164,'ETAPA OBRA'!$B:$B,0))="x",'ETAPA OBRA'!M$1&amp;", ","")&amp;
IF(INDEX('ETAPA OBRA'!N:N,MATCH($B164,'ETAPA OBRA'!$B:$B,0))="x",'ETAPA OBRA'!N$1&amp;", ","")&amp;
IF(INDEX('ETAPA OBRA'!O:O,MATCH($B164,'ETAPA OBRA'!$B:$B,0))="x",'ETAPA OBRA'!O$1&amp;", ","")&amp;
IF(INDEX('ETAPA OBRA'!P:P,MATCH($B164,'ETAPA OBRA'!$B:$B,0))="x",'ETAPA OBRA'!P$1&amp;", ","")&amp;
IF(INDEX('ETAPA OBRA'!Q:Q,MATCH($B164,'ETAPA OBRA'!$B:$B,0))="x",'ETAPA OBRA'!Q$1&amp;", ","")&amp;
IF(INDEX('ETAPA OBRA'!R:R,MATCH($B164,'ETAPA OBRA'!$B:$B,0))="x",'ETAPA OBRA'!R$1&amp;", ","")&amp;
IF(INDEX('ETAPA OBRA'!S:S,MATCH($B164,'ETAPA OBRA'!$B:$B,0))="x",'ETAPA OBRA'!S$1&amp;", ","")&amp;
IF(INDEX('ETAPA OBRA'!T:T,MATCH($B164,'ETAPA OBRA'!$B:$B,0))="x",'ETAPA OBRA'!T$1&amp;", ","")&amp;
IF(INDEX('ETAPA OBRA'!U:U,MATCH($B164,'ETAPA OBRA'!$B:$B,0))="x",'ETAPA OBRA'!U$1&amp;", ","")
)-2),"")</f>
        <v>Projeto</v>
      </c>
      <c r="N164" s="23" t="str">
        <f t="shared" ca="1" si="29"/>
        <v>Em andamento</v>
      </c>
      <c r="O164" s="28">
        <v>276683.99</v>
      </c>
      <c r="P164" s="37">
        <f t="shared" si="19"/>
        <v>0</v>
      </c>
      <c r="Q164" s="28">
        <f t="shared" si="26"/>
        <v>276683.99</v>
      </c>
      <c r="R164" s="29">
        <f t="shared" si="27"/>
        <v>1</v>
      </c>
      <c r="S164" s="23" t="str">
        <f t="shared" si="28"/>
        <v>✅ OK - Fechar Parceiro</v>
      </c>
      <c r="T164" s="23" t="str">
        <f ca="1">Cronograma[[#This Row],[STATUS]]</f>
        <v>🕓 EM ANDAMENTO</v>
      </c>
    </row>
    <row r="165" spans="1:20" ht="15" customHeight="1" x14ac:dyDescent="0.3">
      <c r="A165" s="23" t="s">
        <v>495</v>
      </c>
      <c r="B165" s="23" t="str">
        <f>IF(A165&lt;&gt;"","contel-"&amp;TEXT(COUNTA($A$2:A165),"00"),"")</f>
        <v>contel-164</v>
      </c>
      <c r="C165" s="23" t="s">
        <v>21</v>
      </c>
      <c r="D165" s="23" t="s">
        <v>496</v>
      </c>
      <c r="E165" s="23" t="s">
        <v>309</v>
      </c>
      <c r="F165" s="53" t="s">
        <v>497</v>
      </c>
      <c r="G165" s="23"/>
      <c r="H165" s="30"/>
      <c r="I165" s="23"/>
      <c r="J165" s="25">
        <f>SUM(EQUIPE!C165,EQUIPE!E165,EQUIPE!G165,EQUIPE!I165,EQUIPE!K165,EQUIPE!M165,EQUIPE!O165)</f>
        <v>0</v>
      </c>
      <c r="K165" s="25">
        <v>0</v>
      </c>
      <c r="L165" s="25">
        <v>0</v>
      </c>
      <c r="M165" s="27" t="str">
        <f ca="1">IFERROR(LEFT(
IF(INDEX('ETAPA OBRA'!C:C,MATCH($B165,'ETAPA OBRA'!$B:$B,0))="x",'ETAPA OBRA'!C$1&amp;", ","")&amp;
IF(INDEX('ETAPA OBRA'!D:D,MATCH($B165,'ETAPA OBRA'!$B:$B,0))="x",'ETAPA OBRA'!D$1&amp;", ","")&amp;
IF(INDEX('ETAPA OBRA'!F:F,MATCH($B165,'ETAPA OBRA'!$B:$B,0))="x",'ETAPA OBRA'!F$1&amp;", ","")&amp;
IF(INDEX('ETAPA OBRA'!G:G,MATCH($B165,'ETAPA OBRA'!$B:$B,0))="x",'ETAPA OBRA'!G$1&amp;", ","")&amp;
IF(INDEX('ETAPA OBRA'!H:H,MATCH($B165,'ETAPA OBRA'!$B:$B,0))="x",'ETAPA OBRA'!H$1&amp;", ","")&amp;
IF(INDEX('ETAPA OBRA'!I:I,MATCH($B165,'ETAPA OBRA'!$B:$B,0))="x",'ETAPA OBRA'!I$1&amp;", ","")&amp;
IF(INDEX('ETAPA OBRA'!J:J,MATCH($B165,'ETAPA OBRA'!$B:$B,0))="x",'ETAPA OBRA'!J$1&amp;", ","")&amp;
IF(INDEX('ETAPA OBRA'!K:K,MATCH($B165,'ETAPA OBRA'!$B:$B,0))="x",'ETAPA OBRA'!K$1&amp;", ","")&amp;
IF(INDEX('ETAPA OBRA'!L:L,MATCH($B165,'ETAPA OBRA'!$B:$B,0))="x",'ETAPA OBRA'!L$1&amp;", ","")&amp;
IF(INDEX('ETAPA OBRA'!M:M,MATCH($B165,'ETAPA OBRA'!$B:$B,0))="x",'ETAPA OBRA'!M$1&amp;", ","")&amp;
IF(INDEX('ETAPA OBRA'!N:N,MATCH($B165,'ETAPA OBRA'!$B:$B,0))="x",'ETAPA OBRA'!N$1&amp;", ","")&amp;
IF(INDEX('ETAPA OBRA'!O:O,MATCH($B165,'ETAPA OBRA'!$B:$B,0))="x",'ETAPA OBRA'!O$1&amp;", ","")&amp;
IF(INDEX('ETAPA OBRA'!P:P,MATCH($B165,'ETAPA OBRA'!$B:$B,0))="x",'ETAPA OBRA'!P$1&amp;", ","")&amp;
IF(INDEX('ETAPA OBRA'!Q:Q,MATCH($B165,'ETAPA OBRA'!$B:$B,0))="x",'ETAPA OBRA'!Q$1&amp;", ","")&amp;
IF(INDEX('ETAPA OBRA'!R:R,MATCH($B165,'ETAPA OBRA'!$B:$B,0))="x",'ETAPA OBRA'!R$1&amp;", ","")&amp;
IF(INDEX('ETAPA OBRA'!S:S,MATCH($B165,'ETAPA OBRA'!$B:$B,0))="x",'ETAPA OBRA'!S$1&amp;", ","")&amp;
IF(INDEX('ETAPA OBRA'!T:T,MATCH($B165,'ETAPA OBRA'!$B:$B,0))="x",'ETAPA OBRA'!T$1&amp;", ","")&amp;
IF(INDEX('ETAPA OBRA'!U:U,MATCH($B165,'ETAPA OBRA'!$B:$B,0))="x",'ETAPA OBRA'!U$1&amp;", ",""),LEN(
IF(INDEX('ETAPA OBRA'!C:C,MATCH($B165,'ETAPA OBRA'!$B:$B,0))="x",'ETAPA OBRA'!C$1&amp;", ","")&amp;
IF(INDEX('ETAPA OBRA'!D:D,MATCH($B165,'ETAPA OBRA'!$B:$B,0))="x",'ETAPA OBRA'!D$1&amp;", ","")&amp;
IF(INDEX('ETAPA OBRA'!F:F,MATCH($B165,'ETAPA OBRA'!$B:$B,0))="x",'ETAPA OBRA'!F$1&amp;", ","")&amp;
IF(INDEX('ETAPA OBRA'!G:G,MATCH($B165,'ETAPA OBRA'!$B:$B,0))="x",'ETAPA OBRA'!G$1&amp;", ","")&amp;
IF(INDEX('ETAPA OBRA'!H:H,MATCH($B165,'ETAPA OBRA'!$B:$B,0))="x",'ETAPA OBRA'!H$1&amp;", ","")&amp;
IF(INDEX('ETAPA OBRA'!I:I,MATCH($B165,'ETAPA OBRA'!$B:$B,0))="x",'ETAPA OBRA'!I$1&amp;", ","")&amp;
IF(INDEX('ETAPA OBRA'!J:J,MATCH($B165,'ETAPA OBRA'!$B:$B,0))="x",'ETAPA OBRA'!J$1&amp;", ","")&amp;
IF(INDEX('ETAPA OBRA'!K:K,MATCH($B165,'ETAPA OBRA'!$B:$B,0))="x",'ETAPA OBRA'!K$1&amp;", ","")&amp;
IF(INDEX('ETAPA OBRA'!L:L,MATCH($B165,'ETAPA OBRA'!$B:$B,0))="x",'ETAPA OBRA'!L$1&amp;", ","")&amp;
IF(INDEX('ETAPA OBRA'!M:M,MATCH($B165,'ETAPA OBRA'!$B:$B,0))="x",'ETAPA OBRA'!M$1&amp;", ","")&amp;
IF(INDEX('ETAPA OBRA'!N:N,MATCH($B165,'ETAPA OBRA'!$B:$B,0))="x",'ETAPA OBRA'!N$1&amp;", ","")&amp;
IF(INDEX('ETAPA OBRA'!O:O,MATCH($B165,'ETAPA OBRA'!$B:$B,0))="x",'ETAPA OBRA'!O$1&amp;", ","")&amp;
IF(INDEX('ETAPA OBRA'!P:P,MATCH($B165,'ETAPA OBRA'!$B:$B,0))="x",'ETAPA OBRA'!P$1&amp;", ","")&amp;
IF(INDEX('ETAPA OBRA'!Q:Q,MATCH($B165,'ETAPA OBRA'!$B:$B,0))="x",'ETAPA OBRA'!Q$1&amp;", ","")&amp;
IF(INDEX('ETAPA OBRA'!R:R,MATCH($B165,'ETAPA OBRA'!$B:$B,0))="x",'ETAPA OBRA'!R$1&amp;", ","")&amp;
IF(INDEX('ETAPA OBRA'!S:S,MATCH($B165,'ETAPA OBRA'!$B:$B,0))="x",'ETAPA OBRA'!S$1&amp;", ","")&amp;
IF(INDEX('ETAPA OBRA'!T:T,MATCH($B165,'ETAPA OBRA'!$B:$B,0))="x",'ETAPA OBRA'!T$1&amp;", ","")&amp;
IF(INDEX('ETAPA OBRA'!U:U,MATCH($B165,'ETAPA OBRA'!$B:$B,0))="x",'ETAPA OBRA'!U$1&amp;", ","")
)-2),"")</f>
        <v>Abertura de obra</v>
      </c>
      <c r="N165" s="23" t="str">
        <f t="shared" ca="1" si="29"/>
        <v>Em andamento</v>
      </c>
      <c r="O165" s="28">
        <v>61768.49</v>
      </c>
      <c r="P165" s="37">
        <f t="shared" si="19"/>
        <v>0</v>
      </c>
      <c r="Q165" s="28">
        <f t="shared" ref="Q165:Q170" si="30">O165-P165</f>
        <v>61768.49</v>
      </c>
      <c r="R165" s="29">
        <f t="shared" ref="R165:R170" si="31">IF(O165=0,0,Q165/O165)</f>
        <v>1</v>
      </c>
      <c r="S165" s="23" t="str">
        <f t="shared" ref="S165:S170" si="32">IF(R165&gt;=0.2,"✅ OK - Fechar Parceiro","⚠️ Ajustar Custos (&lt;20%)")</f>
        <v>✅ OK - Fechar Parceiro</v>
      </c>
      <c r="T165" s="23" t="str">
        <f ca="1">Cronograma[[#This Row],[STATUS]]</f>
        <v>🕓 EM ANDAMENTO</v>
      </c>
    </row>
    <row r="166" spans="1:20" ht="15" customHeight="1" x14ac:dyDescent="0.3">
      <c r="A166" s="23" t="s">
        <v>498</v>
      </c>
      <c r="B166" s="23" t="str">
        <f>IF(A166&lt;&gt;"","contel-"&amp;TEXT(COUNTA($A$2:A166),"00"),"")</f>
        <v>contel-165</v>
      </c>
      <c r="C166" s="23" t="s">
        <v>499</v>
      </c>
      <c r="D166" s="23" t="s">
        <v>500</v>
      </c>
      <c r="E166" s="23" t="s">
        <v>49</v>
      </c>
      <c r="F166" s="53" t="s">
        <v>501</v>
      </c>
      <c r="G166" s="23">
        <v>1953</v>
      </c>
      <c r="H166" s="33">
        <v>28708</v>
      </c>
      <c r="I166" s="23" t="s">
        <v>63</v>
      </c>
      <c r="J166" s="25">
        <f>SUM(EQUIPE!C166,EQUIPE!E166,EQUIPE!G166,EQUIPE!I166,EQUIPE!K166,EQUIPE!M166,EQUIPE!O166)</f>
        <v>0</v>
      </c>
      <c r="K166" s="25">
        <v>0</v>
      </c>
      <c r="L166" s="25">
        <v>0</v>
      </c>
      <c r="M166" s="27" t="str">
        <f>IFERROR(LEFT(
IF(INDEX('ETAPA OBRA'!C:C,MATCH($B166,'ETAPA OBRA'!$B:$B,0))="x",'ETAPA OBRA'!C$1&amp;", ","")&amp;
IF(INDEX('ETAPA OBRA'!D:D,MATCH($B166,'ETAPA OBRA'!$B:$B,0))="x",'ETAPA OBRA'!D$1&amp;", ","")&amp;
IF(INDEX('ETAPA OBRA'!F:F,MATCH($B166,'ETAPA OBRA'!$B:$B,0))="x",'ETAPA OBRA'!F$1&amp;", ","")&amp;
IF(INDEX('ETAPA OBRA'!G:G,MATCH($B166,'ETAPA OBRA'!$B:$B,0))="x",'ETAPA OBRA'!G$1&amp;", ","")&amp;
IF(INDEX('ETAPA OBRA'!H:H,MATCH($B166,'ETAPA OBRA'!$B:$B,0))="x",'ETAPA OBRA'!H$1&amp;", ","")&amp;
IF(INDEX('ETAPA OBRA'!I:I,MATCH($B166,'ETAPA OBRA'!$B:$B,0))="x",'ETAPA OBRA'!I$1&amp;", ","")&amp;
IF(INDEX('ETAPA OBRA'!J:J,MATCH($B166,'ETAPA OBRA'!$B:$B,0))="x",'ETAPA OBRA'!J$1&amp;", ","")&amp;
IF(INDEX('ETAPA OBRA'!K:K,MATCH($B166,'ETAPA OBRA'!$B:$B,0))="x",'ETAPA OBRA'!K$1&amp;", ","")&amp;
IF(INDEX('ETAPA OBRA'!L:L,MATCH($B166,'ETAPA OBRA'!$B:$B,0))="x",'ETAPA OBRA'!L$1&amp;", ","")&amp;
IF(INDEX('ETAPA OBRA'!M:M,MATCH($B166,'ETAPA OBRA'!$B:$B,0))="x",'ETAPA OBRA'!M$1&amp;", ","")&amp;
IF(INDEX('ETAPA OBRA'!N:N,MATCH($B166,'ETAPA OBRA'!$B:$B,0))="x",'ETAPA OBRA'!N$1&amp;", ","")&amp;
IF(INDEX('ETAPA OBRA'!O:O,MATCH($B166,'ETAPA OBRA'!$B:$B,0))="x",'ETAPA OBRA'!O$1&amp;", ","")&amp;
IF(INDEX('ETAPA OBRA'!P:P,MATCH($B166,'ETAPA OBRA'!$B:$B,0))="x",'ETAPA OBRA'!P$1&amp;", ","")&amp;
IF(INDEX('ETAPA OBRA'!Q:Q,MATCH($B166,'ETAPA OBRA'!$B:$B,0))="x",'ETAPA OBRA'!Q$1&amp;", ","")&amp;
IF(INDEX('ETAPA OBRA'!R:R,MATCH($B166,'ETAPA OBRA'!$B:$B,0))="x",'ETAPA OBRA'!R$1&amp;", ","")&amp;
IF(INDEX('ETAPA OBRA'!S:S,MATCH($B166,'ETAPA OBRA'!$B:$B,0))="x",'ETAPA OBRA'!S$1&amp;", ","")&amp;
IF(INDEX('ETAPA OBRA'!T:T,MATCH($B166,'ETAPA OBRA'!$B:$B,0))="x",'ETAPA OBRA'!T$1&amp;", ","")&amp;
IF(INDEX('ETAPA OBRA'!U:U,MATCH($B166,'ETAPA OBRA'!$B:$B,0))="x",'ETAPA OBRA'!U$1&amp;", ",""),LEN(
IF(INDEX('ETAPA OBRA'!C:C,MATCH($B166,'ETAPA OBRA'!$B:$B,0))="x",'ETAPA OBRA'!C$1&amp;", ","")&amp;
IF(INDEX('ETAPA OBRA'!D:D,MATCH($B166,'ETAPA OBRA'!$B:$B,0))="x",'ETAPA OBRA'!D$1&amp;", ","")&amp;
IF(INDEX('ETAPA OBRA'!F:F,MATCH($B166,'ETAPA OBRA'!$B:$B,0))="x",'ETAPA OBRA'!F$1&amp;", ","")&amp;
IF(INDEX('ETAPA OBRA'!G:G,MATCH($B166,'ETAPA OBRA'!$B:$B,0))="x",'ETAPA OBRA'!G$1&amp;", ","")&amp;
IF(INDEX('ETAPA OBRA'!H:H,MATCH($B166,'ETAPA OBRA'!$B:$B,0))="x",'ETAPA OBRA'!H$1&amp;", ","")&amp;
IF(INDEX('ETAPA OBRA'!I:I,MATCH($B166,'ETAPA OBRA'!$B:$B,0))="x",'ETAPA OBRA'!I$1&amp;", ","")&amp;
IF(INDEX('ETAPA OBRA'!J:J,MATCH($B166,'ETAPA OBRA'!$B:$B,0))="x",'ETAPA OBRA'!J$1&amp;", ","")&amp;
IF(INDEX('ETAPA OBRA'!K:K,MATCH($B166,'ETAPA OBRA'!$B:$B,0))="x",'ETAPA OBRA'!K$1&amp;", ","")&amp;
IF(INDEX('ETAPA OBRA'!L:L,MATCH($B166,'ETAPA OBRA'!$B:$B,0))="x",'ETAPA OBRA'!L$1&amp;", ","")&amp;
IF(INDEX('ETAPA OBRA'!M:M,MATCH($B166,'ETAPA OBRA'!$B:$B,0))="x",'ETAPA OBRA'!M$1&amp;", ","")&amp;
IF(INDEX('ETAPA OBRA'!N:N,MATCH($B166,'ETAPA OBRA'!$B:$B,0))="x",'ETAPA OBRA'!N$1&amp;", ","")&amp;
IF(INDEX('ETAPA OBRA'!O:O,MATCH($B166,'ETAPA OBRA'!$B:$B,0))="x",'ETAPA OBRA'!O$1&amp;", ","")&amp;
IF(INDEX('ETAPA OBRA'!P:P,MATCH($B166,'ETAPA OBRA'!$B:$B,0))="x",'ETAPA OBRA'!P$1&amp;", ","")&amp;
IF(INDEX('ETAPA OBRA'!Q:Q,MATCH($B166,'ETAPA OBRA'!$B:$B,0))="x",'ETAPA OBRA'!Q$1&amp;", ","")&amp;
IF(INDEX('ETAPA OBRA'!R:R,MATCH($B166,'ETAPA OBRA'!$B:$B,0))="x",'ETAPA OBRA'!R$1&amp;", ","")&amp;
IF(INDEX('ETAPA OBRA'!S:S,MATCH($B166,'ETAPA OBRA'!$B:$B,0))="x",'ETAPA OBRA'!S$1&amp;", ","")&amp;
IF(INDEX('ETAPA OBRA'!T:T,MATCH($B166,'ETAPA OBRA'!$B:$B,0))="x",'ETAPA OBRA'!T$1&amp;", ","")&amp;
IF(INDEX('ETAPA OBRA'!U:U,MATCH($B166,'ETAPA OBRA'!$B:$B,0))="x",'ETAPA OBRA'!U$1&amp;", ","")
)-2),"")</f>
        <v>Cancelada</v>
      </c>
      <c r="N166" s="23" t="str">
        <f t="shared" si="29"/>
        <v>Cancelada</v>
      </c>
      <c r="O166" s="28">
        <v>136858.72</v>
      </c>
      <c r="P166" s="37">
        <f t="shared" si="19"/>
        <v>0</v>
      </c>
      <c r="Q166" s="28">
        <f t="shared" si="30"/>
        <v>136858.72</v>
      </c>
      <c r="R166" s="29">
        <f t="shared" si="31"/>
        <v>1</v>
      </c>
      <c r="S166" s="23" t="str">
        <f t="shared" si="32"/>
        <v>✅ OK - Fechar Parceiro</v>
      </c>
      <c r="T166" s="23" t="str">
        <f>Cronograma[[#This Row],[STATUS]]</f>
        <v>🚫CANCELADO</v>
      </c>
    </row>
    <row r="167" spans="1:20" ht="15" customHeight="1" x14ac:dyDescent="0.3">
      <c r="A167" s="23" t="s">
        <v>197</v>
      </c>
      <c r="B167" s="23" t="str">
        <f>IF(A167&lt;&gt;"","contel-"&amp;TEXT(COUNTA($A$2:A167),"00"),"")</f>
        <v>contel-166</v>
      </c>
      <c r="C167" s="23" t="s">
        <v>78</v>
      </c>
      <c r="D167" s="23" t="s">
        <v>198</v>
      </c>
      <c r="E167" s="23" t="s">
        <v>192</v>
      </c>
      <c r="F167" s="52" t="s">
        <v>199</v>
      </c>
      <c r="G167" s="23">
        <v>1802</v>
      </c>
      <c r="H167" s="33">
        <v>28710</v>
      </c>
      <c r="I167" s="23" t="s">
        <v>25</v>
      </c>
      <c r="J167" s="25">
        <f>SUM(EQUIPE!C167,EQUIPE!E167,EQUIPE!G167,EQUIPE!I167,EQUIPE!K167,EQUIPE!M167,EQUIPE!O167)</f>
        <v>0</v>
      </c>
      <c r="K167" s="25">
        <v>0</v>
      </c>
      <c r="L167" s="25">
        <v>0</v>
      </c>
      <c r="M167" s="27" t="str">
        <f ca="1">IFERROR(LEFT(
IF(INDEX('ETAPA OBRA'!C:C,MATCH($B167,'ETAPA OBRA'!$B:$B,0))="x",'ETAPA OBRA'!C$1&amp;", ","")&amp;
IF(INDEX('ETAPA OBRA'!D:D,MATCH($B167,'ETAPA OBRA'!$B:$B,0))="x",'ETAPA OBRA'!D$1&amp;", ","")&amp;
IF(INDEX('ETAPA OBRA'!F:F,MATCH($B167,'ETAPA OBRA'!$B:$B,0))="x",'ETAPA OBRA'!F$1&amp;", ","")&amp;
IF(INDEX('ETAPA OBRA'!G:G,MATCH($B167,'ETAPA OBRA'!$B:$B,0))="x",'ETAPA OBRA'!G$1&amp;", ","")&amp;
IF(INDEX('ETAPA OBRA'!H:H,MATCH($B167,'ETAPA OBRA'!$B:$B,0))="x",'ETAPA OBRA'!H$1&amp;", ","")&amp;
IF(INDEX('ETAPA OBRA'!I:I,MATCH($B167,'ETAPA OBRA'!$B:$B,0))="x",'ETAPA OBRA'!I$1&amp;", ","")&amp;
IF(INDEX('ETAPA OBRA'!J:J,MATCH($B167,'ETAPA OBRA'!$B:$B,0))="x",'ETAPA OBRA'!J$1&amp;", ","")&amp;
IF(INDEX('ETAPA OBRA'!K:K,MATCH($B167,'ETAPA OBRA'!$B:$B,0))="x",'ETAPA OBRA'!K$1&amp;", ","")&amp;
IF(INDEX('ETAPA OBRA'!L:L,MATCH($B167,'ETAPA OBRA'!$B:$B,0))="x",'ETAPA OBRA'!L$1&amp;", ","")&amp;
IF(INDEX('ETAPA OBRA'!M:M,MATCH($B167,'ETAPA OBRA'!$B:$B,0))="x",'ETAPA OBRA'!M$1&amp;", ","")&amp;
IF(INDEX('ETAPA OBRA'!N:N,MATCH($B167,'ETAPA OBRA'!$B:$B,0))="x",'ETAPA OBRA'!N$1&amp;", ","")&amp;
IF(INDEX('ETAPA OBRA'!O:O,MATCH($B167,'ETAPA OBRA'!$B:$B,0))="x",'ETAPA OBRA'!O$1&amp;", ","")&amp;
IF(INDEX('ETAPA OBRA'!P:P,MATCH($B167,'ETAPA OBRA'!$B:$B,0))="x",'ETAPA OBRA'!P$1&amp;", ","")&amp;
IF(INDEX('ETAPA OBRA'!Q:Q,MATCH($B167,'ETAPA OBRA'!$B:$B,0))="x",'ETAPA OBRA'!Q$1&amp;", ","")&amp;
IF(INDEX('ETAPA OBRA'!R:R,MATCH($B167,'ETAPA OBRA'!$B:$B,0))="x",'ETAPA OBRA'!R$1&amp;", ","")&amp;
IF(INDEX('ETAPA OBRA'!S:S,MATCH($B167,'ETAPA OBRA'!$B:$B,0))="x",'ETAPA OBRA'!S$1&amp;", ","")&amp;
IF(INDEX('ETAPA OBRA'!T:T,MATCH($B167,'ETAPA OBRA'!$B:$B,0))="x",'ETAPA OBRA'!T$1&amp;", ","")&amp;
IF(INDEX('ETAPA OBRA'!U:U,MATCH($B167,'ETAPA OBRA'!$B:$B,0))="x",'ETAPA OBRA'!U$1&amp;", ",""),LEN(
IF(INDEX('ETAPA OBRA'!C:C,MATCH($B167,'ETAPA OBRA'!$B:$B,0))="x",'ETAPA OBRA'!C$1&amp;", ","")&amp;
IF(INDEX('ETAPA OBRA'!D:D,MATCH($B167,'ETAPA OBRA'!$B:$B,0))="x",'ETAPA OBRA'!D$1&amp;", ","")&amp;
IF(INDEX('ETAPA OBRA'!F:F,MATCH($B167,'ETAPA OBRA'!$B:$B,0))="x",'ETAPA OBRA'!F$1&amp;", ","")&amp;
IF(INDEX('ETAPA OBRA'!G:G,MATCH($B167,'ETAPA OBRA'!$B:$B,0))="x",'ETAPA OBRA'!G$1&amp;", ","")&amp;
IF(INDEX('ETAPA OBRA'!H:H,MATCH($B167,'ETAPA OBRA'!$B:$B,0))="x",'ETAPA OBRA'!H$1&amp;", ","")&amp;
IF(INDEX('ETAPA OBRA'!I:I,MATCH($B167,'ETAPA OBRA'!$B:$B,0))="x",'ETAPA OBRA'!I$1&amp;", ","")&amp;
IF(INDEX('ETAPA OBRA'!J:J,MATCH($B167,'ETAPA OBRA'!$B:$B,0))="x",'ETAPA OBRA'!J$1&amp;", ","")&amp;
IF(INDEX('ETAPA OBRA'!K:K,MATCH($B167,'ETAPA OBRA'!$B:$B,0))="x",'ETAPA OBRA'!K$1&amp;", ","")&amp;
IF(INDEX('ETAPA OBRA'!L:L,MATCH($B167,'ETAPA OBRA'!$B:$B,0))="x",'ETAPA OBRA'!L$1&amp;", ","")&amp;
IF(INDEX('ETAPA OBRA'!M:M,MATCH($B167,'ETAPA OBRA'!$B:$B,0))="x",'ETAPA OBRA'!M$1&amp;", ","")&amp;
IF(INDEX('ETAPA OBRA'!N:N,MATCH($B167,'ETAPA OBRA'!$B:$B,0))="x",'ETAPA OBRA'!N$1&amp;", ","")&amp;
IF(INDEX('ETAPA OBRA'!O:O,MATCH($B167,'ETAPA OBRA'!$B:$B,0))="x",'ETAPA OBRA'!O$1&amp;", ","")&amp;
IF(INDEX('ETAPA OBRA'!P:P,MATCH($B167,'ETAPA OBRA'!$B:$B,0))="x",'ETAPA OBRA'!P$1&amp;", ","")&amp;
IF(INDEX('ETAPA OBRA'!Q:Q,MATCH($B167,'ETAPA OBRA'!$B:$B,0))="x",'ETAPA OBRA'!Q$1&amp;", ","")&amp;
IF(INDEX('ETAPA OBRA'!R:R,MATCH($B167,'ETAPA OBRA'!$B:$B,0))="x",'ETAPA OBRA'!R$1&amp;", ","")&amp;
IF(INDEX('ETAPA OBRA'!S:S,MATCH($B167,'ETAPA OBRA'!$B:$B,0))="x",'ETAPA OBRA'!S$1&amp;", ","")&amp;
IF(INDEX('ETAPA OBRA'!T:T,MATCH($B167,'ETAPA OBRA'!$B:$B,0))="x",'ETAPA OBRA'!T$1&amp;", ","")&amp;
IF(INDEX('ETAPA OBRA'!U:U,MATCH($B167,'ETAPA OBRA'!$B:$B,0))="x",'ETAPA OBRA'!U$1&amp;", ","")
)-2),"")</f>
        <v>Projeto</v>
      </c>
      <c r="N167" s="23" t="str">
        <f t="shared" ca="1" si="29"/>
        <v>Em andamento</v>
      </c>
      <c r="O167" s="28">
        <v>2500</v>
      </c>
      <c r="P167" s="37">
        <f t="shared" si="19"/>
        <v>0</v>
      </c>
      <c r="Q167" s="28">
        <f t="shared" si="30"/>
        <v>2500</v>
      </c>
      <c r="R167" s="29">
        <f t="shared" si="31"/>
        <v>1</v>
      </c>
      <c r="S167" s="23" t="str">
        <f t="shared" si="32"/>
        <v>✅ OK - Fechar Parceiro</v>
      </c>
      <c r="T167" s="23" t="str">
        <f ca="1">Cronograma[[#This Row],[STATUS]]</f>
        <v>🕓 EM ANDAMENTO</v>
      </c>
    </row>
    <row r="168" spans="1:20" ht="15" customHeight="1" x14ac:dyDescent="0.3">
      <c r="A168" s="23" t="s">
        <v>233</v>
      </c>
      <c r="B168" s="23" t="str">
        <f>IF(A168&lt;&gt;"","contel-"&amp;TEXT(COUNTA($A$2:A168),"00"),"")</f>
        <v>contel-167</v>
      </c>
      <c r="C168" s="23" t="s">
        <v>78</v>
      </c>
      <c r="D168" s="23" t="s">
        <v>234</v>
      </c>
      <c r="E168" s="23" t="s">
        <v>192</v>
      </c>
      <c r="F168" s="52" t="s">
        <v>235</v>
      </c>
      <c r="G168" s="23">
        <v>1850</v>
      </c>
      <c r="H168" s="33">
        <v>28709</v>
      </c>
      <c r="I168" s="23" t="s">
        <v>25</v>
      </c>
      <c r="J168" s="25">
        <f>SUM(EQUIPE!C168,EQUIPE!E168,EQUIPE!G168,EQUIPE!I168,EQUIPE!K168,EQUIPE!M168,EQUIPE!O168)</f>
        <v>750</v>
      </c>
      <c r="K168" s="25">
        <v>0</v>
      </c>
      <c r="L168" s="25">
        <v>0</v>
      </c>
      <c r="M168" s="27" t="str">
        <f ca="1">IFERROR(LEFT(
IF(INDEX('ETAPA OBRA'!C:C,MATCH($B168,'ETAPA OBRA'!$B:$B,0))="x",'ETAPA OBRA'!C$1&amp;", ","")&amp;
IF(INDEX('ETAPA OBRA'!D:D,MATCH($B168,'ETAPA OBRA'!$B:$B,0))="x",'ETAPA OBRA'!D$1&amp;", ","")&amp;
IF(INDEX('ETAPA OBRA'!F:F,MATCH($B168,'ETAPA OBRA'!$B:$B,0))="x",'ETAPA OBRA'!F$1&amp;", ","")&amp;
IF(INDEX('ETAPA OBRA'!G:G,MATCH($B168,'ETAPA OBRA'!$B:$B,0))="x",'ETAPA OBRA'!G$1&amp;", ","")&amp;
IF(INDEX('ETAPA OBRA'!H:H,MATCH($B168,'ETAPA OBRA'!$B:$B,0))="x",'ETAPA OBRA'!H$1&amp;", ","")&amp;
IF(INDEX('ETAPA OBRA'!I:I,MATCH($B168,'ETAPA OBRA'!$B:$B,0))="x",'ETAPA OBRA'!I$1&amp;", ","")&amp;
IF(INDEX('ETAPA OBRA'!J:J,MATCH($B168,'ETAPA OBRA'!$B:$B,0))="x",'ETAPA OBRA'!J$1&amp;", ","")&amp;
IF(INDEX('ETAPA OBRA'!K:K,MATCH($B168,'ETAPA OBRA'!$B:$B,0))="x",'ETAPA OBRA'!K$1&amp;", ","")&amp;
IF(INDEX('ETAPA OBRA'!L:L,MATCH($B168,'ETAPA OBRA'!$B:$B,0))="x",'ETAPA OBRA'!L$1&amp;", ","")&amp;
IF(INDEX('ETAPA OBRA'!M:M,MATCH($B168,'ETAPA OBRA'!$B:$B,0))="x",'ETAPA OBRA'!M$1&amp;", ","")&amp;
IF(INDEX('ETAPA OBRA'!N:N,MATCH($B168,'ETAPA OBRA'!$B:$B,0))="x",'ETAPA OBRA'!N$1&amp;", ","")&amp;
IF(INDEX('ETAPA OBRA'!O:O,MATCH($B168,'ETAPA OBRA'!$B:$B,0))="x",'ETAPA OBRA'!O$1&amp;", ","")&amp;
IF(INDEX('ETAPA OBRA'!P:P,MATCH($B168,'ETAPA OBRA'!$B:$B,0))="x",'ETAPA OBRA'!P$1&amp;", ","")&amp;
IF(INDEX('ETAPA OBRA'!Q:Q,MATCH($B168,'ETAPA OBRA'!$B:$B,0))="x",'ETAPA OBRA'!Q$1&amp;", ","")&amp;
IF(INDEX('ETAPA OBRA'!R:R,MATCH($B168,'ETAPA OBRA'!$B:$B,0))="x",'ETAPA OBRA'!R$1&amp;", ","")&amp;
IF(INDEX('ETAPA OBRA'!S:S,MATCH($B168,'ETAPA OBRA'!$B:$B,0))="x",'ETAPA OBRA'!S$1&amp;", ","")&amp;
IF(INDEX('ETAPA OBRA'!T:T,MATCH($B168,'ETAPA OBRA'!$B:$B,0))="x",'ETAPA OBRA'!T$1&amp;", ","")&amp;
IF(INDEX('ETAPA OBRA'!U:U,MATCH($B168,'ETAPA OBRA'!$B:$B,0))="x",'ETAPA OBRA'!U$1&amp;", ",""),LEN(
IF(INDEX('ETAPA OBRA'!C:C,MATCH($B168,'ETAPA OBRA'!$B:$B,0))="x",'ETAPA OBRA'!C$1&amp;", ","")&amp;
IF(INDEX('ETAPA OBRA'!D:D,MATCH($B168,'ETAPA OBRA'!$B:$B,0))="x",'ETAPA OBRA'!D$1&amp;", ","")&amp;
IF(INDEX('ETAPA OBRA'!F:F,MATCH($B168,'ETAPA OBRA'!$B:$B,0))="x",'ETAPA OBRA'!F$1&amp;", ","")&amp;
IF(INDEX('ETAPA OBRA'!G:G,MATCH($B168,'ETAPA OBRA'!$B:$B,0))="x",'ETAPA OBRA'!G$1&amp;", ","")&amp;
IF(INDEX('ETAPA OBRA'!H:H,MATCH($B168,'ETAPA OBRA'!$B:$B,0))="x",'ETAPA OBRA'!H$1&amp;", ","")&amp;
IF(INDEX('ETAPA OBRA'!I:I,MATCH($B168,'ETAPA OBRA'!$B:$B,0))="x",'ETAPA OBRA'!I$1&amp;", ","")&amp;
IF(INDEX('ETAPA OBRA'!J:J,MATCH($B168,'ETAPA OBRA'!$B:$B,0))="x",'ETAPA OBRA'!J$1&amp;", ","")&amp;
IF(INDEX('ETAPA OBRA'!K:K,MATCH($B168,'ETAPA OBRA'!$B:$B,0))="x",'ETAPA OBRA'!K$1&amp;", ","")&amp;
IF(INDEX('ETAPA OBRA'!L:L,MATCH($B168,'ETAPA OBRA'!$B:$B,0))="x",'ETAPA OBRA'!L$1&amp;", ","")&amp;
IF(INDEX('ETAPA OBRA'!M:M,MATCH($B168,'ETAPA OBRA'!$B:$B,0))="x",'ETAPA OBRA'!M$1&amp;", ","")&amp;
IF(INDEX('ETAPA OBRA'!N:N,MATCH($B168,'ETAPA OBRA'!$B:$B,0))="x",'ETAPA OBRA'!N$1&amp;", ","")&amp;
IF(INDEX('ETAPA OBRA'!O:O,MATCH($B168,'ETAPA OBRA'!$B:$B,0))="x",'ETAPA OBRA'!O$1&amp;", ","")&amp;
IF(INDEX('ETAPA OBRA'!P:P,MATCH($B168,'ETAPA OBRA'!$B:$B,0))="x",'ETAPA OBRA'!P$1&amp;", ","")&amp;
IF(INDEX('ETAPA OBRA'!Q:Q,MATCH($B168,'ETAPA OBRA'!$B:$B,0))="x",'ETAPA OBRA'!Q$1&amp;", ","")&amp;
IF(INDEX('ETAPA OBRA'!R:R,MATCH($B168,'ETAPA OBRA'!$B:$B,0))="x",'ETAPA OBRA'!R$1&amp;", ","")&amp;
IF(INDEX('ETAPA OBRA'!S:S,MATCH($B168,'ETAPA OBRA'!$B:$B,0))="x",'ETAPA OBRA'!S$1&amp;", ","")&amp;
IF(INDEX('ETAPA OBRA'!T:T,MATCH($B168,'ETAPA OBRA'!$B:$B,0))="x",'ETAPA OBRA'!T$1&amp;", ","")&amp;
IF(INDEX('ETAPA OBRA'!U:U,MATCH($B168,'ETAPA OBRA'!$B:$B,0))="x",'ETAPA OBRA'!U$1&amp;", ","")
)-2),"")</f>
        <v>Projeto</v>
      </c>
      <c r="N168" s="23" t="str">
        <f t="shared" ca="1" si="29"/>
        <v>Em andamento</v>
      </c>
      <c r="O168" s="28">
        <v>1705</v>
      </c>
      <c r="P168" s="37">
        <f t="shared" si="19"/>
        <v>750</v>
      </c>
      <c r="Q168" s="28">
        <f t="shared" si="30"/>
        <v>955</v>
      </c>
      <c r="R168" s="29">
        <f t="shared" si="31"/>
        <v>0.56011730205278587</v>
      </c>
      <c r="S168" s="23" t="str">
        <f t="shared" si="32"/>
        <v>✅ OK - Fechar Parceiro</v>
      </c>
      <c r="T168" s="23" t="str">
        <f ca="1">Cronograma[[#This Row],[STATUS]]</f>
        <v>🕓 EM ANDAMENTO</v>
      </c>
    </row>
    <row r="169" spans="1:20" ht="15" customHeight="1" x14ac:dyDescent="0.3">
      <c r="A169" s="23" t="s">
        <v>190</v>
      </c>
      <c r="B169" s="23" t="str">
        <f>IF(A169&lt;&gt;"","contel-"&amp;TEXT(COUNTA($A$2:A169),"00"),"")</f>
        <v>contel-168</v>
      </c>
      <c r="C169" s="23" t="s">
        <v>78</v>
      </c>
      <c r="D169" s="23" t="s">
        <v>502</v>
      </c>
      <c r="E169" s="23" t="s">
        <v>192</v>
      </c>
      <c r="F169" s="53" t="s">
        <v>193</v>
      </c>
      <c r="G169" s="23">
        <v>1803</v>
      </c>
      <c r="H169" s="33">
        <v>28715</v>
      </c>
      <c r="I169" s="23" t="s">
        <v>25</v>
      </c>
      <c r="J169" s="25">
        <f>SUM(EQUIPE!C169,EQUIPE!E169,EQUIPE!G169,EQUIPE!I169,EQUIPE!K169,EQUIPE!M169,EQUIPE!O169)</f>
        <v>1100</v>
      </c>
      <c r="K169" s="25">
        <v>0</v>
      </c>
      <c r="L169" s="25">
        <v>0</v>
      </c>
      <c r="M169" s="27" t="str">
        <f ca="1">IFERROR(LEFT(
IF(INDEX('ETAPA OBRA'!C:C,MATCH($B169,'ETAPA OBRA'!$B:$B,0))="x",'ETAPA OBRA'!C$1&amp;", ","")&amp;
IF(INDEX('ETAPA OBRA'!D:D,MATCH($B169,'ETAPA OBRA'!$B:$B,0))="x",'ETAPA OBRA'!D$1&amp;", ","")&amp;
IF(INDEX('ETAPA OBRA'!F:F,MATCH($B169,'ETAPA OBRA'!$B:$B,0))="x",'ETAPA OBRA'!F$1&amp;", ","")&amp;
IF(INDEX('ETAPA OBRA'!G:G,MATCH($B169,'ETAPA OBRA'!$B:$B,0))="x",'ETAPA OBRA'!G$1&amp;", ","")&amp;
IF(INDEX('ETAPA OBRA'!H:H,MATCH($B169,'ETAPA OBRA'!$B:$B,0))="x",'ETAPA OBRA'!H$1&amp;", ","")&amp;
IF(INDEX('ETAPA OBRA'!I:I,MATCH($B169,'ETAPA OBRA'!$B:$B,0))="x",'ETAPA OBRA'!I$1&amp;", ","")&amp;
IF(INDEX('ETAPA OBRA'!J:J,MATCH($B169,'ETAPA OBRA'!$B:$B,0))="x",'ETAPA OBRA'!J$1&amp;", ","")&amp;
IF(INDEX('ETAPA OBRA'!K:K,MATCH($B169,'ETAPA OBRA'!$B:$B,0))="x",'ETAPA OBRA'!K$1&amp;", ","")&amp;
IF(INDEX('ETAPA OBRA'!L:L,MATCH($B169,'ETAPA OBRA'!$B:$B,0))="x",'ETAPA OBRA'!L$1&amp;", ","")&amp;
IF(INDEX('ETAPA OBRA'!M:M,MATCH($B169,'ETAPA OBRA'!$B:$B,0))="x",'ETAPA OBRA'!M$1&amp;", ","")&amp;
IF(INDEX('ETAPA OBRA'!N:N,MATCH($B169,'ETAPA OBRA'!$B:$B,0))="x",'ETAPA OBRA'!N$1&amp;", ","")&amp;
IF(INDEX('ETAPA OBRA'!O:O,MATCH($B169,'ETAPA OBRA'!$B:$B,0))="x",'ETAPA OBRA'!O$1&amp;", ","")&amp;
IF(INDEX('ETAPA OBRA'!P:P,MATCH($B169,'ETAPA OBRA'!$B:$B,0))="x",'ETAPA OBRA'!P$1&amp;", ","")&amp;
IF(INDEX('ETAPA OBRA'!Q:Q,MATCH($B169,'ETAPA OBRA'!$B:$B,0))="x",'ETAPA OBRA'!Q$1&amp;", ","")&amp;
IF(INDEX('ETAPA OBRA'!R:R,MATCH($B169,'ETAPA OBRA'!$B:$B,0))="x",'ETAPA OBRA'!R$1&amp;", ","")&amp;
IF(INDEX('ETAPA OBRA'!S:S,MATCH($B169,'ETAPA OBRA'!$B:$B,0))="x",'ETAPA OBRA'!S$1&amp;", ","")&amp;
IF(INDEX('ETAPA OBRA'!T:T,MATCH($B169,'ETAPA OBRA'!$B:$B,0))="x",'ETAPA OBRA'!T$1&amp;", ","")&amp;
IF(INDEX('ETAPA OBRA'!U:U,MATCH($B169,'ETAPA OBRA'!$B:$B,0))="x",'ETAPA OBRA'!U$1&amp;", ",""),LEN(
IF(INDEX('ETAPA OBRA'!C:C,MATCH($B169,'ETAPA OBRA'!$B:$B,0))="x",'ETAPA OBRA'!C$1&amp;", ","")&amp;
IF(INDEX('ETAPA OBRA'!D:D,MATCH($B169,'ETAPA OBRA'!$B:$B,0))="x",'ETAPA OBRA'!D$1&amp;", ","")&amp;
IF(INDEX('ETAPA OBRA'!F:F,MATCH($B169,'ETAPA OBRA'!$B:$B,0))="x",'ETAPA OBRA'!F$1&amp;", ","")&amp;
IF(INDEX('ETAPA OBRA'!G:G,MATCH($B169,'ETAPA OBRA'!$B:$B,0))="x",'ETAPA OBRA'!G$1&amp;", ","")&amp;
IF(INDEX('ETAPA OBRA'!H:H,MATCH($B169,'ETAPA OBRA'!$B:$B,0))="x",'ETAPA OBRA'!H$1&amp;", ","")&amp;
IF(INDEX('ETAPA OBRA'!I:I,MATCH($B169,'ETAPA OBRA'!$B:$B,0))="x",'ETAPA OBRA'!I$1&amp;", ","")&amp;
IF(INDEX('ETAPA OBRA'!J:J,MATCH($B169,'ETAPA OBRA'!$B:$B,0))="x",'ETAPA OBRA'!J$1&amp;", ","")&amp;
IF(INDEX('ETAPA OBRA'!K:K,MATCH($B169,'ETAPA OBRA'!$B:$B,0))="x",'ETAPA OBRA'!K$1&amp;", ","")&amp;
IF(INDEX('ETAPA OBRA'!L:L,MATCH($B169,'ETAPA OBRA'!$B:$B,0))="x",'ETAPA OBRA'!L$1&amp;", ","")&amp;
IF(INDEX('ETAPA OBRA'!M:M,MATCH($B169,'ETAPA OBRA'!$B:$B,0))="x",'ETAPA OBRA'!M$1&amp;", ","")&amp;
IF(INDEX('ETAPA OBRA'!N:N,MATCH($B169,'ETAPA OBRA'!$B:$B,0))="x",'ETAPA OBRA'!N$1&amp;", ","")&amp;
IF(INDEX('ETAPA OBRA'!O:O,MATCH($B169,'ETAPA OBRA'!$B:$B,0))="x",'ETAPA OBRA'!O$1&amp;", ","")&amp;
IF(INDEX('ETAPA OBRA'!P:P,MATCH($B169,'ETAPA OBRA'!$B:$B,0))="x",'ETAPA OBRA'!P$1&amp;", ","")&amp;
IF(INDEX('ETAPA OBRA'!Q:Q,MATCH($B169,'ETAPA OBRA'!$B:$B,0))="x",'ETAPA OBRA'!Q$1&amp;", ","")&amp;
IF(INDEX('ETAPA OBRA'!R:R,MATCH($B169,'ETAPA OBRA'!$B:$B,0))="x",'ETAPA OBRA'!R$1&amp;", ","")&amp;
IF(INDEX('ETAPA OBRA'!S:S,MATCH($B169,'ETAPA OBRA'!$B:$B,0))="x",'ETAPA OBRA'!S$1&amp;", ","")&amp;
IF(INDEX('ETAPA OBRA'!T:T,MATCH($B169,'ETAPA OBRA'!$B:$B,0))="x",'ETAPA OBRA'!T$1&amp;", ","")&amp;
IF(INDEX('ETAPA OBRA'!U:U,MATCH($B169,'ETAPA OBRA'!$B:$B,0))="x",'ETAPA OBRA'!U$1&amp;", ","")
)-2),"")</f>
        <v>Projeto</v>
      </c>
      <c r="N169" s="23" t="str">
        <f t="shared" ca="1" si="29"/>
        <v>Em andamento</v>
      </c>
      <c r="O169" s="28">
        <v>4785</v>
      </c>
      <c r="P169" s="37">
        <f t="shared" si="19"/>
        <v>1100</v>
      </c>
      <c r="Q169" s="28">
        <f t="shared" si="30"/>
        <v>3685</v>
      </c>
      <c r="R169" s="29">
        <f t="shared" si="31"/>
        <v>0.77011494252873558</v>
      </c>
      <c r="S169" s="23" t="str">
        <f t="shared" si="32"/>
        <v>✅ OK - Fechar Parceiro</v>
      </c>
      <c r="T169" s="23" t="str">
        <f ca="1">Cronograma[[#This Row],[STATUS]]</f>
        <v>🕓 EM ANDAMENTO</v>
      </c>
    </row>
    <row r="170" spans="1:20" ht="15" customHeight="1" x14ac:dyDescent="0.3">
      <c r="A170" s="38" t="s">
        <v>503</v>
      </c>
      <c r="B170" s="38" t="str">
        <f>IF(A170&lt;&gt;"","contel-"&amp;TEXT(COUNTA($A$2:A170),"00"),"")</f>
        <v>contel-169</v>
      </c>
      <c r="C170" s="23" t="s">
        <v>120</v>
      </c>
      <c r="D170" s="23" t="s">
        <v>504</v>
      </c>
      <c r="E170" s="23" t="s">
        <v>505</v>
      </c>
      <c r="F170" s="54" t="s">
        <v>506</v>
      </c>
      <c r="G170" s="23"/>
      <c r="H170" s="36">
        <v>15942</v>
      </c>
      <c r="I170" s="23" t="s">
        <v>25</v>
      </c>
      <c r="J170" s="25">
        <f>SUM(EQUIPE!C170,EQUIPE!E170,EQUIPE!G170,EQUIPE!I170,EQUIPE!K170,EQUIPE!M170,EQUIPE!O170)</f>
        <v>1500</v>
      </c>
      <c r="K170" s="25">
        <v>0</v>
      </c>
      <c r="L170" s="25">
        <v>0</v>
      </c>
      <c r="M170" s="27" t="str">
        <f ca="1">IFERROR(LEFT(
IF(INDEX('ETAPA OBRA'!C:C,MATCH($B170,'ETAPA OBRA'!$B:$B,0))="x",'ETAPA OBRA'!C$1&amp;", ","")&amp;
IF(INDEX('ETAPA OBRA'!D:D,MATCH($B170,'ETAPA OBRA'!$B:$B,0))="x",'ETAPA OBRA'!D$1&amp;", ","")&amp;
IF(INDEX('ETAPA OBRA'!F:F,MATCH($B170,'ETAPA OBRA'!$B:$B,0))="x",'ETAPA OBRA'!F$1&amp;", ","")&amp;
IF(INDEX('ETAPA OBRA'!G:G,MATCH($B170,'ETAPA OBRA'!$B:$B,0))="x",'ETAPA OBRA'!G$1&amp;", ","")&amp;
IF(INDEX('ETAPA OBRA'!H:H,MATCH($B170,'ETAPA OBRA'!$B:$B,0))="x",'ETAPA OBRA'!H$1&amp;", ","")&amp;
IF(INDEX('ETAPA OBRA'!I:I,MATCH($B170,'ETAPA OBRA'!$B:$B,0))="x",'ETAPA OBRA'!I$1&amp;", ","")&amp;
IF(INDEX('ETAPA OBRA'!J:J,MATCH($B170,'ETAPA OBRA'!$B:$B,0))="x",'ETAPA OBRA'!J$1&amp;", ","")&amp;
IF(INDEX('ETAPA OBRA'!K:K,MATCH($B170,'ETAPA OBRA'!$B:$B,0))="x",'ETAPA OBRA'!K$1&amp;", ","")&amp;
IF(INDEX('ETAPA OBRA'!L:L,MATCH($B170,'ETAPA OBRA'!$B:$B,0))="x",'ETAPA OBRA'!L$1&amp;", ","")&amp;
IF(INDEX('ETAPA OBRA'!M:M,MATCH($B170,'ETAPA OBRA'!$B:$B,0))="x",'ETAPA OBRA'!M$1&amp;", ","")&amp;
IF(INDEX('ETAPA OBRA'!N:N,MATCH($B170,'ETAPA OBRA'!$B:$B,0))="x",'ETAPA OBRA'!N$1&amp;", ","")&amp;
IF(INDEX('ETAPA OBRA'!O:O,MATCH($B170,'ETAPA OBRA'!$B:$B,0))="x",'ETAPA OBRA'!O$1&amp;", ","")&amp;
IF(INDEX('ETAPA OBRA'!P:P,MATCH($B170,'ETAPA OBRA'!$B:$B,0))="x",'ETAPA OBRA'!P$1&amp;", ","")&amp;
IF(INDEX('ETAPA OBRA'!Q:Q,MATCH($B170,'ETAPA OBRA'!$B:$B,0))="x",'ETAPA OBRA'!Q$1&amp;", ","")&amp;
IF(INDEX('ETAPA OBRA'!R:R,MATCH($B170,'ETAPA OBRA'!$B:$B,0))="x",'ETAPA OBRA'!R$1&amp;", ","")&amp;
IF(INDEX('ETAPA OBRA'!S:S,MATCH($B170,'ETAPA OBRA'!$B:$B,0))="x",'ETAPA OBRA'!S$1&amp;", ","")&amp;
IF(INDEX('ETAPA OBRA'!T:T,MATCH($B170,'ETAPA OBRA'!$B:$B,0))="x",'ETAPA OBRA'!T$1&amp;", ","")&amp;
IF(INDEX('ETAPA OBRA'!U:U,MATCH($B170,'ETAPA OBRA'!$B:$B,0))="x",'ETAPA OBRA'!U$1&amp;", ",""),LEN(
IF(INDEX('ETAPA OBRA'!C:C,MATCH($B170,'ETAPA OBRA'!$B:$B,0))="x",'ETAPA OBRA'!C$1&amp;", ","")&amp;
IF(INDEX('ETAPA OBRA'!D:D,MATCH($B170,'ETAPA OBRA'!$B:$B,0))="x",'ETAPA OBRA'!D$1&amp;", ","")&amp;
IF(INDEX('ETAPA OBRA'!F:F,MATCH($B170,'ETAPA OBRA'!$B:$B,0))="x",'ETAPA OBRA'!F$1&amp;", ","")&amp;
IF(INDEX('ETAPA OBRA'!G:G,MATCH($B170,'ETAPA OBRA'!$B:$B,0))="x",'ETAPA OBRA'!G$1&amp;", ","")&amp;
IF(INDEX('ETAPA OBRA'!H:H,MATCH($B170,'ETAPA OBRA'!$B:$B,0))="x",'ETAPA OBRA'!H$1&amp;", ","")&amp;
IF(INDEX('ETAPA OBRA'!I:I,MATCH($B170,'ETAPA OBRA'!$B:$B,0))="x",'ETAPA OBRA'!I$1&amp;", ","")&amp;
IF(INDEX('ETAPA OBRA'!J:J,MATCH($B170,'ETAPA OBRA'!$B:$B,0))="x",'ETAPA OBRA'!J$1&amp;", ","")&amp;
IF(INDEX('ETAPA OBRA'!K:K,MATCH($B170,'ETAPA OBRA'!$B:$B,0))="x",'ETAPA OBRA'!K$1&amp;", ","")&amp;
IF(INDEX('ETAPA OBRA'!L:L,MATCH($B170,'ETAPA OBRA'!$B:$B,0))="x",'ETAPA OBRA'!L$1&amp;", ","")&amp;
IF(INDEX('ETAPA OBRA'!M:M,MATCH($B170,'ETAPA OBRA'!$B:$B,0))="x",'ETAPA OBRA'!M$1&amp;", ","")&amp;
IF(INDEX('ETAPA OBRA'!N:N,MATCH($B170,'ETAPA OBRA'!$B:$B,0))="x",'ETAPA OBRA'!N$1&amp;", ","")&amp;
IF(INDEX('ETAPA OBRA'!O:O,MATCH($B170,'ETAPA OBRA'!$B:$B,0))="x",'ETAPA OBRA'!O$1&amp;", ","")&amp;
IF(INDEX('ETAPA OBRA'!P:P,MATCH($B170,'ETAPA OBRA'!$B:$B,0))="x",'ETAPA OBRA'!P$1&amp;", ","")&amp;
IF(INDEX('ETAPA OBRA'!Q:Q,MATCH($B170,'ETAPA OBRA'!$B:$B,0))="x",'ETAPA OBRA'!Q$1&amp;", ","")&amp;
IF(INDEX('ETAPA OBRA'!R:R,MATCH($B170,'ETAPA OBRA'!$B:$B,0))="x",'ETAPA OBRA'!R$1&amp;", ","")&amp;
IF(INDEX('ETAPA OBRA'!S:S,MATCH($B170,'ETAPA OBRA'!$B:$B,0))="x",'ETAPA OBRA'!S$1&amp;", ","")&amp;
IF(INDEX('ETAPA OBRA'!T:T,MATCH($B170,'ETAPA OBRA'!$B:$B,0))="x",'ETAPA OBRA'!T$1&amp;", ","")&amp;
IF(INDEX('ETAPA OBRA'!U:U,MATCH($B170,'ETAPA OBRA'!$B:$B,0))="x",'ETAPA OBRA'!U$1&amp;", ","")
)-2),"")</f>
        <v>Survey</v>
      </c>
      <c r="N170" s="23" t="str">
        <f t="shared" ca="1" si="29"/>
        <v>Em andamento</v>
      </c>
      <c r="O170" s="28"/>
      <c r="P170" s="28">
        <f>SUM($J170:$L170)</f>
        <v>1500</v>
      </c>
      <c r="Q170" s="28">
        <f t="shared" si="30"/>
        <v>-1500</v>
      </c>
      <c r="R170" s="29">
        <f t="shared" si="31"/>
        <v>0</v>
      </c>
      <c r="S170" s="23" t="str">
        <f t="shared" si="32"/>
        <v>⚠️ Ajustar Custos (&lt;20%)</v>
      </c>
      <c r="T170" s="23" t="str">
        <f ca="1">Cronograma[[#This Row],[STATUS]]</f>
        <v>🕓 EM ANDAMENTO</v>
      </c>
    </row>
    <row r="171" spans="1:20" ht="15" customHeight="1" x14ac:dyDescent="0.3">
      <c r="A171" s="38" t="s">
        <v>507</v>
      </c>
      <c r="B171" s="38" t="str">
        <f>IF(A171&lt;&gt;"","contel-"&amp;TEXT(COUNTA($A$2:A171),"00"),"")</f>
        <v>contel-170</v>
      </c>
      <c r="C171" s="38" t="s">
        <v>120</v>
      </c>
      <c r="D171" s="38" t="s">
        <v>508</v>
      </c>
      <c r="E171" s="38" t="s">
        <v>125</v>
      </c>
      <c r="F171" s="55" t="s">
        <v>509</v>
      </c>
      <c r="G171" s="38">
        <v>1893</v>
      </c>
      <c r="H171" s="56">
        <v>3972</v>
      </c>
      <c r="I171" s="23" t="s">
        <v>297</v>
      </c>
      <c r="J171" s="39">
        <f>SUM(EQUIPE!C171,EQUIPE!E171,EQUIPE!G171,EQUIPE!I171,EQUIPE!K171,EQUIPE!M171,EQUIPE!O171)</f>
        <v>6000</v>
      </c>
      <c r="K171" s="39">
        <v>712.08</v>
      </c>
      <c r="L171" s="39"/>
      <c r="M171" s="27" t="str">
        <f>IFERROR(LEFT(
IF(INDEX('ETAPA OBRA'!C:C,MATCH($B171,'ETAPA OBRA'!$B:$B,0))="x",'ETAPA OBRA'!C$1&amp;", ","")&amp;
IF(INDEX('ETAPA OBRA'!D:D,MATCH($B171,'ETAPA OBRA'!$B:$B,0))="x",'ETAPA OBRA'!D$1&amp;", ","")&amp;
IF(INDEX('ETAPA OBRA'!F:F,MATCH($B171,'ETAPA OBRA'!$B:$B,0))="x",'ETAPA OBRA'!F$1&amp;", ","")&amp;
IF(INDEX('ETAPA OBRA'!G:G,MATCH($B171,'ETAPA OBRA'!$B:$B,0))="x",'ETAPA OBRA'!G$1&amp;", ","")&amp;
IF(INDEX('ETAPA OBRA'!H:H,MATCH($B171,'ETAPA OBRA'!$B:$B,0))="x",'ETAPA OBRA'!H$1&amp;", ","")&amp;
IF(INDEX('ETAPA OBRA'!I:I,MATCH($B171,'ETAPA OBRA'!$B:$B,0))="x",'ETAPA OBRA'!I$1&amp;", ","")&amp;
IF(INDEX('ETAPA OBRA'!J:J,MATCH($B171,'ETAPA OBRA'!$B:$B,0))="x",'ETAPA OBRA'!J$1&amp;", ","")&amp;
IF(INDEX('ETAPA OBRA'!K:K,MATCH($B171,'ETAPA OBRA'!$B:$B,0))="x",'ETAPA OBRA'!K$1&amp;", ","")&amp;
IF(INDEX('ETAPA OBRA'!L:L,MATCH($B171,'ETAPA OBRA'!$B:$B,0))="x",'ETAPA OBRA'!L$1&amp;", ","")&amp;
IF(INDEX('ETAPA OBRA'!M:M,MATCH($B171,'ETAPA OBRA'!$B:$B,0))="x",'ETAPA OBRA'!M$1&amp;", ","")&amp;
IF(INDEX('ETAPA OBRA'!N:N,MATCH($B171,'ETAPA OBRA'!$B:$B,0))="x",'ETAPA OBRA'!N$1&amp;", ","")&amp;
IF(INDEX('ETAPA OBRA'!O:O,MATCH($B171,'ETAPA OBRA'!$B:$B,0))="x",'ETAPA OBRA'!O$1&amp;", ","")&amp;
IF(INDEX('ETAPA OBRA'!P:P,MATCH($B171,'ETAPA OBRA'!$B:$B,0))="x",'ETAPA OBRA'!P$1&amp;", ","")&amp;
IF(INDEX('ETAPA OBRA'!Q:Q,MATCH($B171,'ETAPA OBRA'!$B:$B,0))="x",'ETAPA OBRA'!Q$1&amp;", ","")&amp;
IF(INDEX('ETAPA OBRA'!R:R,MATCH($B171,'ETAPA OBRA'!$B:$B,0))="x",'ETAPA OBRA'!R$1&amp;", ","")&amp;
IF(INDEX('ETAPA OBRA'!S:S,MATCH($B171,'ETAPA OBRA'!$B:$B,0))="x",'ETAPA OBRA'!S$1&amp;", ","")&amp;
IF(INDEX('ETAPA OBRA'!T:T,MATCH($B171,'ETAPA OBRA'!$B:$B,0))="x",'ETAPA OBRA'!T$1&amp;", ","")&amp;
IF(INDEX('ETAPA OBRA'!U:U,MATCH($B171,'ETAPA OBRA'!$B:$B,0))="x",'ETAPA OBRA'!U$1&amp;", ",""),LEN(
IF(INDEX('ETAPA OBRA'!C:C,MATCH($B171,'ETAPA OBRA'!$B:$B,0))="x",'ETAPA OBRA'!C$1&amp;", ","")&amp;
IF(INDEX('ETAPA OBRA'!D:D,MATCH($B171,'ETAPA OBRA'!$B:$B,0))="x",'ETAPA OBRA'!D$1&amp;", ","")&amp;
IF(INDEX('ETAPA OBRA'!F:F,MATCH($B171,'ETAPA OBRA'!$B:$B,0))="x",'ETAPA OBRA'!F$1&amp;", ","")&amp;
IF(INDEX('ETAPA OBRA'!G:G,MATCH($B171,'ETAPA OBRA'!$B:$B,0))="x",'ETAPA OBRA'!G$1&amp;", ","")&amp;
IF(INDEX('ETAPA OBRA'!H:H,MATCH($B171,'ETAPA OBRA'!$B:$B,0))="x",'ETAPA OBRA'!H$1&amp;", ","")&amp;
IF(INDEX('ETAPA OBRA'!I:I,MATCH($B171,'ETAPA OBRA'!$B:$B,0))="x",'ETAPA OBRA'!I$1&amp;", ","")&amp;
IF(INDEX('ETAPA OBRA'!J:J,MATCH($B171,'ETAPA OBRA'!$B:$B,0))="x",'ETAPA OBRA'!J$1&amp;", ","")&amp;
IF(INDEX('ETAPA OBRA'!K:K,MATCH($B171,'ETAPA OBRA'!$B:$B,0))="x",'ETAPA OBRA'!K$1&amp;", ","")&amp;
IF(INDEX('ETAPA OBRA'!L:L,MATCH($B171,'ETAPA OBRA'!$B:$B,0))="x",'ETAPA OBRA'!L$1&amp;", ","")&amp;
IF(INDEX('ETAPA OBRA'!M:M,MATCH($B171,'ETAPA OBRA'!$B:$B,0))="x",'ETAPA OBRA'!M$1&amp;", ","")&amp;
IF(INDEX('ETAPA OBRA'!N:N,MATCH($B171,'ETAPA OBRA'!$B:$B,0))="x",'ETAPA OBRA'!N$1&amp;", ","")&amp;
IF(INDEX('ETAPA OBRA'!O:O,MATCH($B171,'ETAPA OBRA'!$B:$B,0))="x",'ETAPA OBRA'!O$1&amp;", ","")&amp;
IF(INDEX('ETAPA OBRA'!P:P,MATCH($B171,'ETAPA OBRA'!$B:$B,0))="x",'ETAPA OBRA'!P$1&amp;", ","")&amp;
IF(INDEX('ETAPA OBRA'!Q:Q,MATCH($B171,'ETAPA OBRA'!$B:$B,0))="x",'ETAPA OBRA'!Q$1&amp;", ","")&amp;
IF(INDEX('ETAPA OBRA'!R:R,MATCH($B171,'ETAPA OBRA'!$B:$B,0))="x",'ETAPA OBRA'!R$1&amp;", ","")&amp;
IF(INDEX('ETAPA OBRA'!S:S,MATCH($B171,'ETAPA OBRA'!$B:$B,0))="x",'ETAPA OBRA'!S$1&amp;", ","")&amp;
IF(INDEX('ETAPA OBRA'!T:T,MATCH($B171,'ETAPA OBRA'!$B:$B,0))="x",'ETAPA OBRA'!T$1&amp;", ","")&amp;
IF(INDEX('ETAPA OBRA'!U:U,MATCH($B171,'ETAPA OBRA'!$B:$B,0))="x",'ETAPA OBRA'!U$1&amp;", ","")
)-2),"")</f>
        <v>Finalizado</v>
      </c>
      <c r="N171" s="38" t="str">
        <f>IF(M171="","Não iniciada",
IF(ISNUMBER(FIND("Cancelada",M171)),"Cancelada",
IF(ISNUMBER(FIND("Paralisada",M171)),"Paralisada",
IF(ISNUMBER(FIND("Finalizado",M171)),"Finalizado",
"Em andamento"))))</f>
        <v>Finalizado</v>
      </c>
      <c r="O171" s="49">
        <v>17116.91</v>
      </c>
      <c r="P171" s="49">
        <f>SUM($J171:$L171)</f>
        <v>6712.08</v>
      </c>
      <c r="Q171" s="49">
        <f>O171-P171</f>
        <v>10404.83</v>
      </c>
      <c r="R171" s="50">
        <f>IF(O171=0,0,Q171/O171)</f>
        <v>0.60786847626119433</v>
      </c>
      <c r="S171" s="38" t="str">
        <f>IF(R171&gt;=0.2,"✅ OK - Fechar Parceiro","⚠️ Ajustar Custos (&lt;20%)")</f>
        <v>✅ OK - Fechar Parceiro</v>
      </c>
      <c r="T171" s="38" t="str">
        <f>Cronograma[[#This Row],[STATUS]]</f>
        <v>✅ CONCLUÍDO</v>
      </c>
    </row>
  </sheetData>
  <phoneticPr fontId="8" type="noConversion"/>
  <conditionalFormatting sqref="S2:S171">
    <cfRule type="expression" dxfId="26" priority="7">
      <formula>LEFT(S2,1)="⚠"</formula>
    </cfRule>
    <cfRule type="expression" dxfId="25" priority="8">
      <formula>LEFT(S2,1)="✅"</formula>
    </cfRule>
  </conditionalFormatting>
  <conditionalFormatting sqref="T1:T1048576">
    <cfRule type="containsText" dxfId="24" priority="1" operator="containsText" text="EM ANDAMENTO">
      <formula>NOT(ISERROR(SEARCH("EM ANDAMENTO",T1)))</formula>
    </cfRule>
    <cfRule type="containsText" dxfId="23" priority="2" operator="containsText" text="CONCLUÍDO">
      <formula>NOT(ISERROR(SEARCH("CONCLUÍDO",T1)))</formula>
    </cfRule>
    <cfRule type="containsText" dxfId="22" priority="3" stopIfTrue="1" operator="containsText" text="ATRASADO">
      <formula>NOT(ISERROR(SEARCH("ATRASADO",T1)))</formula>
    </cfRule>
  </conditionalFormatting>
  <dataValidations count="1">
    <dataValidation allowBlank="1" showInputMessage="1" showErrorMessage="1" sqref="M1:N1048576" xr:uid="{8894710B-9790-4685-86A2-05F0B2B1AF8A}"/>
  </dataValidations>
  <hyperlinks>
    <hyperlink ref="H54" r:id="rId1" display="https://ts.contel.com.br/operational/activities/16545/edit" xr:uid="{17682767-563F-4DFA-8306-BB3EA992A7C2}"/>
    <hyperlink ref="H53" r:id="rId2" display="https://ts.contel.com.br/operational/activities/3763/edit" xr:uid="{5C5B6BE0-B7DA-4BB9-9DC2-FD38FBFFDB8A}"/>
    <hyperlink ref="H52" r:id="rId3" display="https://ts.contel.com.br/operational/activities/16483/edit" xr:uid="{86FD8F4F-DCDA-4C5C-89DE-4B6227800D72}"/>
    <hyperlink ref="H51" r:id="rId4" display="https://ts.contel.com.br/operational/activities/16249/edit" xr:uid="{00000000-0004-0000-0000-000051000000}"/>
    <hyperlink ref="H50" r:id="rId5" display="https://ts.contel.com.br/operational/activities/16035/edit" xr:uid="{00000000-0004-0000-0000-000050000000}"/>
    <hyperlink ref="H49" r:id="rId6" display="https://ts.contel.com.br/operational/activities/16204/edit" xr:uid="{00000000-0004-0000-0000-000035000000}"/>
    <hyperlink ref="H48" r:id="rId7" display="https://ts.contel.com.br/operational/activities/16211/edit" xr:uid="{00000000-0004-0000-0000-000034000000}"/>
    <hyperlink ref="H47" r:id="rId8" display="https://ts.contel.com.br/operational/activities/16104/edit" xr:uid="{00000000-0004-0000-0000-000033000000}"/>
    <hyperlink ref="H46" r:id="rId9" display="https://ts.contel.com.br/operational/activities/16080/edit" xr:uid="{00000000-0004-0000-0000-000031000000}"/>
    <hyperlink ref="H45" r:id="rId10" display="https://ts.contel.com.br/operational/activities/16050/edit" xr:uid="{00000000-0004-0000-0000-000030000000}"/>
    <hyperlink ref="H43" r:id="rId11" display="https://ts.contel.com.br/operational/activities/16079/edit" xr:uid="{00000000-0004-0000-0000-00002E000000}"/>
    <hyperlink ref="H42" r:id="rId12" display="https://ts.contel.com.br/operational/activities/15969/edit" xr:uid="{00000000-0004-0000-0000-00002A000000}"/>
    <hyperlink ref="H41" r:id="rId13" display="https://ts.contel.com.br/operational/activities/15956/edit" xr:uid="{00000000-0004-0000-0000-000029000000}"/>
    <hyperlink ref="H40" r:id="rId14" display="https://ts.contel.com.br/operational/activities/3941/edit" xr:uid="{00000000-0004-0000-0000-000028000000}"/>
    <hyperlink ref="H39" r:id="rId15" display="https://ts.contel.com.br/operational/activities/15926/edit" xr:uid="{00000000-0004-0000-0000-000027000000}"/>
    <hyperlink ref="H38" r:id="rId16" display="https://ts.contel.com.br/operational/activities/15925/edit" xr:uid="{00000000-0004-0000-0000-000026000000}"/>
    <hyperlink ref="H37" r:id="rId17" display="https://ts.contel.com.br/operational/activities/15902/edit" xr:uid="{00000000-0004-0000-0000-000025000000}"/>
    <hyperlink ref="H36" r:id="rId18" display="https://ts.contel.com.br/operational/activities/15913/edit" xr:uid="{00000000-0004-0000-0000-000024000000}"/>
    <hyperlink ref="H35" r:id="rId19" display="https://ts.contel.com.br/operational/activities/15864/edit" xr:uid="{00000000-0004-0000-0000-000023000000}"/>
    <hyperlink ref="H34" r:id="rId20" display="https://ts.contel.com.br/operational/activities/15833/edit" xr:uid="{00000000-0004-0000-0000-000022000000}"/>
    <hyperlink ref="H33" r:id="rId21" display="https://ts.contel.com.br/operational/activities/12737/edit" xr:uid="{00000000-0004-0000-0000-000020000000}"/>
    <hyperlink ref="H32" r:id="rId22" display="https://ts.contel.com.br/operational/activities/15338/edit" xr:uid="{00000000-0004-0000-0000-00001F000000}"/>
    <hyperlink ref="H31" r:id="rId23" display="https://ts.contel.com.br/operational/activities/15324/edit" xr:uid="{00000000-0004-0000-0000-00001E000000}"/>
    <hyperlink ref="H30" r:id="rId24" display="https://ts.contel.com.br/operational/activities/15838/edit" xr:uid="{00000000-0004-0000-0000-00001D000000}"/>
    <hyperlink ref="H29" r:id="rId25" display="https://ts.contel.com.br/operational/activities/13533/edit" xr:uid="{00000000-0004-0000-0000-00001C000000}"/>
    <hyperlink ref="H28" r:id="rId26" display="https://ts.contel.com.br/operational/activities/15836/edit" xr:uid="{00000000-0004-0000-0000-00001B000000}"/>
    <hyperlink ref="H27" r:id="rId27" display="https://ts.contel.com.br/operational/activities/15837/edit" xr:uid="{00000000-0004-0000-0000-00001A000000}"/>
    <hyperlink ref="H26" r:id="rId28" display="https://ts.contel.com.br/operational/activities/15835/edit" xr:uid="{00000000-0004-0000-0000-000019000000}"/>
    <hyperlink ref="H25" r:id="rId29" display="https://ts.contel.com.br/operational/activities/15839/edit" xr:uid="{00000000-0004-0000-0000-000018000000}"/>
    <hyperlink ref="H24" r:id="rId30" display="https://ts.contel.com.br/operational/activities/15375/edit" xr:uid="{00000000-0004-0000-0000-000017000000}"/>
    <hyperlink ref="H23" r:id="rId31" display="https://ts.contel.com.br/operational/activities/15339/edit" xr:uid="{00000000-0004-0000-0000-000016000000}"/>
    <hyperlink ref="H22" r:id="rId32" display="https://ts.contel.com.br/operational/activities/15333/edit" xr:uid="{00000000-0004-0000-0000-000015000000}"/>
    <hyperlink ref="H21" r:id="rId33" display="https://ts.contel.com.br/operational/activities/12890/edit" xr:uid="{00000000-0004-0000-0000-000014000000}"/>
    <hyperlink ref="H20" r:id="rId34" display="https://ts.contel.com.br/operational/activities/12706/edit" xr:uid="{00000000-0004-0000-0000-000013000000}"/>
    <hyperlink ref="H19" r:id="rId35" display="https://ts.contel.com.br/operational/activities/12725/edit" xr:uid="{00000000-0004-0000-0000-000012000000}"/>
    <hyperlink ref="H18" r:id="rId36" display="https://ts.contel.com.br/operational/activities/12710/edit" xr:uid="{00000000-0004-0000-0000-000011000000}"/>
    <hyperlink ref="H17" r:id="rId37" display="https://ts.contel.com.br/operational/activities/12709/edit" xr:uid="{00000000-0004-0000-0000-000010000000}"/>
    <hyperlink ref="H16" r:id="rId38" display="https://ts.contel.com.br/operational/activities/12708/edit" xr:uid="{00000000-0004-0000-0000-00000F000000}"/>
    <hyperlink ref="H15" r:id="rId39" display="https://ts.contel.com.br/operational/activities/12707/edit" xr:uid="{00000000-0004-0000-0000-00000E000000}"/>
    <hyperlink ref="H14" r:id="rId40" display="https://ts.contel.com.br/operational/activities/12771/edit" xr:uid="{00000000-0004-0000-0000-00000D000000}"/>
    <hyperlink ref="H13" r:id="rId41" display="https://ts.contel.com.br/operational/activities/12770/edit" xr:uid="{00000000-0004-0000-0000-00000C000000}"/>
    <hyperlink ref="H12" r:id="rId42" display="https://ts.contel.com.br/operational/activities/12769/edit" xr:uid="{00000000-0004-0000-0000-00000B000000}"/>
    <hyperlink ref="H11" r:id="rId43" display="https://ts.contel.com.br/operational/activities/12768/edit" xr:uid="{00000000-0004-0000-0000-00000A000000}"/>
    <hyperlink ref="H10" r:id="rId44" display="https://ts.contel.com.br/operational/activities/12767/edit" xr:uid="{00000000-0004-0000-0000-000009000000}"/>
    <hyperlink ref="H9" r:id="rId45" display="https://ts.contel.com.br/operational/activities/12766/edit" xr:uid="{00000000-0004-0000-0000-000008000000}"/>
    <hyperlink ref="H8" r:id="rId46" display="https://ts.contel.com.br/operational/activities/12765/edit" xr:uid="{00000000-0004-0000-0000-000007000000}"/>
    <hyperlink ref="H7" r:id="rId47" display="https://ts.contel.com.br/operational/activities/12764/edit" xr:uid="{00000000-0004-0000-0000-000006000000}"/>
    <hyperlink ref="H6" r:id="rId48" display="https://ts.contel.com.br/operational/activities/12763/edit" xr:uid="{00000000-0004-0000-0000-000005000000}"/>
    <hyperlink ref="H5" r:id="rId49" display="https://ts.contel.com.br/operational/activities/4014/edit" xr:uid="{00000000-0004-0000-0000-000004000000}"/>
    <hyperlink ref="H4" r:id="rId50" display="https://ts.contel.com.br/operational/activities/15870/edit" xr:uid="{00000000-0004-0000-0000-000003000000}"/>
    <hyperlink ref="H3" r:id="rId51" display="https://ts.contel.com.br/operational/activities/16078/edit" xr:uid="{00000000-0004-0000-0000-000002000000}"/>
    <hyperlink ref="H2" r:id="rId52" display="https://ts.contel.com.br/operational/activities/15869/edit" xr:uid="{00000000-0004-0000-0000-000001000000}"/>
    <hyperlink ref="H55" r:id="rId53" display="https://ts.contel.com.br/operational/activities/16581/edit" xr:uid="{B5511863-F179-4C59-AD10-BF925EDFF710}"/>
    <hyperlink ref="H56" r:id="rId54" display="https://ts.contel.com.br/operational/activities/16612/edit" xr:uid="{35747408-DBFA-44B0-86E4-1466C89C6A17}"/>
    <hyperlink ref="H57" r:id="rId55" display="https://ts.contel.com.br/operational/activities/16615/edit" xr:uid="{2A4EB420-86D4-4396-B0D5-9365A8EEDDEC}"/>
    <hyperlink ref="H58" r:id="rId56" display="https://ts.contel.com.br/operational/activities/16616/edit" xr:uid="{857E6F6E-2392-49EA-A3CB-19581DE8D3E4}"/>
    <hyperlink ref="H59" r:id="rId57" display="https://ts.contel.com.br/operational/activities/16617/edit" xr:uid="{491B222F-8F85-4DC8-AA43-AD179D37A7BA}"/>
    <hyperlink ref="H60" r:id="rId58" display="https://ts.contel.com.br/operational/activities/16620/edit" xr:uid="{863C6F25-9092-4B06-8812-036AF75E5945}"/>
    <hyperlink ref="H61" r:id="rId59" display="https://ts.contel.com.br/operational/activities/16625/edit" xr:uid="{CC1DB516-78E5-48E7-AD08-2FF483682B0B}"/>
    <hyperlink ref="H62" r:id="rId60" display="16632" xr:uid="{0F35EF69-D17E-463D-A0D6-E92687A0CB96}"/>
    <hyperlink ref="H63" r:id="rId61" display="https://ts.contel.com.br/operational/activities/16638/edit" xr:uid="{0960E44F-FC8A-4E00-B66D-CB619FC3A2B7}"/>
    <hyperlink ref="H64" r:id="rId62" display="16668" xr:uid="{466885C8-8F03-421C-9EFB-5736B3C990DF}"/>
    <hyperlink ref="H65" r:id="rId63" display="16679" xr:uid="{4B6FDECA-D7FE-4A62-A599-35B1BDD8D3E9}"/>
    <hyperlink ref="H66" r:id="rId64" display="16697" xr:uid="{04B8092C-18FC-4C8C-91BF-EAE3DCB9865C}"/>
    <hyperlink ref="H69" r:id="rId65" display="16693" xr:uid="{B43494A6-37BE-4DBA-BA23-A172D7C9FC3B}"/>
    <hyperlink ref="H70" r:id="rId66" display="16692" xr:uid="{61919D71-F9E6-44B2-9EE8-6023A9EC15AB}"/>
    <hyperlink ref="H67" r:id="rId67" display="16677" xr:uid="{EC0F429F-D819-40DE-80C8-D704A4ED8F56}"/>
    <hyperlink ref="H68" r:id="rId68" display="16691" xr:uid="{EE049E6A-BDE1-40B0-B9C9-84061B91E90D}"/>
    <hyperlink ref="H71" r:id="rId69" display="16694" xr:uid="{0D2211A1-FDC4-49F3-A030-0683690C51C6}"/>
    <hyperlink ref="H72" r:id="rId70" display="16717" xr:uid="{29924EF5-DDE9-42D4-90A1-5001AE821D6A}"/>
    <hyperlink ref="H44" r:id="rId71" display="26516" xr:uid="{9BAC338F-CB29-4D7D-94A8-5C7C92F5C6F3}"/>
    <hyperlink ref="H73" r:id="rId72" display="26517" xr:uid="{8929CD79-75C6-4625-8380-CC7B85A10DA7}"/>
    <hyperlink ref="H74" r:id="rId73" display="26520" xr:uid="{A65712AB-15F6-417D-A096-16E694EB609C}"/>
    <hyperlink ref="H75" r:id="rId74" display="26529" xr:uid="{CB994519-E0A3-4A4A-8315-62B08A1BA05D}"/>
    <hyperlink ref="H76" r:id="rId75" display="26532" xr:uid="{03E63E97-C3FC-40C5-A6C6-06682699769F}"/>
    <hyperlink ref="H77" r:id="rId76" display="20043" xr:uid="{E6D78228-5262-4747-8A70-B3C445CBC5FF}"/>
    <hyperlink ref="H78" r:id="rId77" display="13494" xr:uid="{671FCA7E-8D0E-419B-BB2B-95C58AB144B4}"/>
    <hyperlink ref="H79" r:id="rId78" display="26566" xr:uid="{E8563BFF-B6BB-4942-B90A-D252DE8F92F1}"/>
    <hyperlink ref="H80" r:id="rId79" display="26595" xr:uid="{A84BEA51-7B0D-402E-B61A-C2587593AA22}"/>
    <hyperlink ref="H81" r:id="rId80" display="26622" xr:uid="{6F152610-46EE-4B83-91DA-B71A1C5116B7}"/>
    <hyperlink ref="H82" r:id="rId81" display="26623" xr:uid="{6A7F5BEC-9998-4828-B445-76FEFABC9C09}"/>
    <hyperlink ref="H83" r:id="rId82" display="26624" xr:uid="{007A24B2-58BA-4A6F-AA72-31A8EBDF5EC9}"/>
    <hyperlink ref="H84" r:id="rId83" display="26656" xr:uid="{F46B4F8B-5ED8-40D8-A510-39E228595C6A}"/>
    <hyperlink ref="H85" r:id="rId84" display="26739" xr:uid="{F398D61F-17B0-4FB5-B5BC-FB9C8E8B77E4}"/>
    <hyperlink ref="H86" r:id="rId85" display="26733" xr:uid="{202A2582-9FA7-424E-8563-5D29FFD43B59}"/>
    <hyperlink ref="H88" r:id="rId86" display="26727" xr:uid="{744B7D84-7C0A-451D-BA9B-A5D3AD42210A}"/>
    <hyperlink ref="H87" r:id="rId87" display="26741" xr:uid="{84A85BFE-F3F6-415C-8A4A-26C6ABDF505C}"/>
    <hyperlink ref="H90" r:id="rId88" display="26729" xr:uid="{C333C1E7-B948-4480-9662-0AD7F6316E69}"/>
    <hyperlink ref="H91" r:id="rId89" display="26730" xr:uid="{541383E6-FEA9-40C7-B54D-E8A39FB2E2BE}"/>
    <hyperlink ref="H94" r:id="rId90" display="15827" xr:uid="{55BDA5BB-D7B3-4BE0-A0FE-B21788507C75}"/>
    <hyperlink ref="H95" r:id="rId91" display="15938" xr:uid="{BCD681C1-0DF6-4861-814D-71E6A142B833}"/>
    <hyperlink ref="H96" r:id="rId92" display="4039" xr:uid="{F37CD09A-52B8-4E31-ADB1-7ADC8CE71472}"/>
    <hyperlink ref="H97" r:id="rId93" display="4020" xr:uid="{8E5E176E-6736-4204-92FE-930A3A7703D2}"/>
    <hyperlink ref="H98" r:id="rId94" display="3783" xr:uid="{E60A82A5-2E64-4C24-9B49-13F46861BF2E}"/>
    <hyperlink ref="H99" r:id="rId95" display="3968" xr:uid="{3250D616-7256-43D8-AF80-15EFCD2435E9}"/>
    <hyperlink ref="H100" r:id="rId96" display="3036" xr:uid="{FB3094C9-7FF7-45FA-8703-64AE8A1CFB12}"/>
    <hyperlink ref="H101" r:id="rId97" display="4035" xr:uid="{D5040E13-5451-402D-A475-2BB0B6D40AD4}"/>
    <hyperlink ref="H102" r:id="rId98" display="26781" xr:uid="{985623F3-1CE4-4E77-BE70-312EE272D563}"/>
    <hyperlink ref="H103" r:id="rId99" display="26900" xr:uid="{73816A4E-F0E3-43D3-B70D-FF347DC2BF96}"/>
    <hyperlink ref="H105" r:id="rId100" display="3527" xr:uid="{2F76A5A9-89D3-4F09-A4AF-A32AC53265F1}"/>
    <hyperlink ref="H104" r:id="rId101" display="26905" xr:uid="{ABECE03D-F9D4-4A6D-BF72-056673D705C1}"/>
    <hyperlink ref="H106" r:id="rId102" display="26967" xr:uid="{8B52651B-5412-4301-936E-73AC81F7A4E6}"/>
    <hyperlink ref="H107" r:id="rId103" display="26973" xr:uid="{C6F2CC8C-BCCF-4644-BFA9-998980CDDA85}"/>
    <hyperlink ref="H108" r:id="rId104" display="16004" xr:uid="{DA6198BD-9176-48D4-AE47-1CD7BD1C7A16}"/>
    <hyperlink ref="H110" r:id="rId105" display="3807" xr:uid="{60AD25DB-7563-4493-8FAF-A09D9BDE8587}"/>
    <hyperlink ref="H111" r:id="rId106" display="3808" xr:uid="{3B7015C3-2C00-465A-9A62-0EB041C741FE}"/>
    <hyperlink ref="H112" r:id="rId107" display="3802" xr:uid="{FFF6C620-09D1-4C82-90E4-6347C93480A7}"/>
    <hyperlink ref="H113" r:id="rId108" display="10941" xr:uid="{EC6D8E5E-F7A5-4B0F-BF52-46B57BD58C34}"/>
    <hyperlink ref="H114" r:id="rId109" display="16113" xr:uid="{B4F894E4-1142-4AFD-A965-ADB5D371A033}"/>
    <hyperlink ref="H115" r:id="rId110" display="16598" xr:uid="{A12946FF-4A9B-44A1-9962-CA333C475879}"/>
    <hyperlink ref="H117" r:id="rId111" display="3806" xr:uid="{11F05E1E-031E-49C9-89FF-40E0D856C822}"/>
    <hyperlink ref="H118" r:id="rId112" display="16196" xr:uid="{FCE4192C-4059-43FF-B3CF-5C7A080EC4E8}"/>
    <hyperlink ref="H119" r:id="rId113" display="16112" xr:uid="{A2634504-B876-40CF-993E-B9B7492067BC}"/>
    <hyperlink ref="H120" r:id="rId114" display="3983" xr:uid="{F605A2B6-12C7-49B1-8B79-962ED579BE52}"/>
    <hyperlink ref="H121" r:id="rId115" display="27037" xr:uid="{22EC9A57-D839-49F2-A106-C428BC2AAC80}"/>
    <hyperlink ref="H131" r:id="rId116" display="27102" xr:uid="{5FD2014D-9551-44F8-8AC9-B1BCE60607D0}"/>
    <hyperlink ref="H132" r:id="rId117" display="27103" xr:uid="{A1CA0D72-79F4-48CF-BE70-34236B6D978D}"/>
    <hyperlink ref="H133" r:id="rId118" display="27110" xr:uid="{41DF180E-5709-455B-B943-152BCE42160E}"/>
    <hyperlink ref="H134" r:id="rId119" display="27101" xr:uid="{1D7CED9D-6281-4296-A1C5-0485317BF127}"/>
    <hyperlink ref="H135" r:id="rId120" display="27172" xr:uid="{0104BCBB-5DEE-4ED8-BB6C-94E21F84D6E9}"/>
    <hyperlink ref="H116" r:id="rId121" display="27215" xr:uid="{36BFFDB3-2886-45B8-B58E-04E23326EB5E}"/>
    <hyperlink ref="H136" r:id="rId122" display="27798" xr:uid="{9923B51B-AAAD-4B6A-9C80-13158C75F134}"/>
    <hyperlink ref="H137" r:id="rId123" display="27791" xr:uid="{E9E68BFB-2A31-43BA-9262-0E0FC1BE8B0E}"/>
    <hyperlink ref="H138" r:id="rId124" display="4017" xr:uid="{2EE0A0CC-DC74-4F4F-98B8-294BBB472F58}"/>
    <hyperlink ref="H147" r:id="rId125" display="27847" xr:uid="{E0EE6C34-A40D-4E84-A4C8-0198785A951E}"/>
    <hyperlink ref="H146" r:id="rId126" display="27852" xr:uid="{EC6CCD52-E976-43AD-B51A-B22FA0D723AB}"/>
    <hyperlink ref="H148" r:id="rId127" display="27854" xr:uid="{3BC97612-2E20-47DA-914C-3CE4DACDD9A5}"/>
    <hyperlink ref="H149" r:id="rId128" display="27841" xr:uid="{22996173-B5CA-4DB1-B7AA-E9C7EB401C69}"/>
    <hyperlink ref="H139" r:id="rId129" display="27851" xr:uid="{851C98BA-F993-44D4-8229-C5B755B7C842}"/>
    <hyperlink ref="H140" r:id="rId130" display="27846" xr:uid="{9DD70F62-F3CE-4E75-80DB-DE7B12F677A6}"/>
    <hyperlink ref="H141" r:id="rId131" display="27848" xr:uid="{4E1EBE66-B018-43E1-9D9C-152BC7428194}"/>
    <hyperlink ref="H142" r:id="rId132" display="27850" xr:uid="{CA3CD89B-CDAB-438B-9530-F1260C46EB3E}"/>
    <hyperlink ref="H143" r:id="rId133" display="27853" xr:uid="{05E45F4D-FE51-44F4-AA6A-419ECE3A524A}"/>
    <hyperlink ref="H144" r:id="rId134" display="27855" xr:uid="{CFE3BAFC-658A-4E9F-BDA7-5BC9837BE0D0}"/>
    <hyperlink ref="H145" r:id="rId135" display="27842" xr:uid="{CF19B879-07A6-4AB1-9A4D-573A8AF4676C}"/>
    <hyperlink ref="H150" r:id="rId136" display="3528" xr:uid="{6ACBB533-BAAC-4D73-9878-7C8F75EFFD43}"/>
    <hyperlink ref="H151" r:id="rId137" display="12761" xr:uid="{8F39005D-0485-4F9A-88DE-095488C4B77D}"/>
    <hyperlink ref="H93" r:id="rId138" display="27044" xr:uid="{D192BDF9-B147-431A-8BBE-25388E06F3F5}"/>
    <hyperlink ref="H152" r:id="rId139" display="27878" xr:uid="{8E45C773-5E43-408A-960B-F70DBBD65719}"/>
    <hyperlink ref="F2" r:id="rId140" xr:uid="{3B8BC59A-8DDA-4BE3-936B-7E89249471AF}"/>
    <hyperlink ref="F3" r:id="rId141" xr:uid="{D364597D-8D41-4549-AF75-5BBA6CC9721C}"/>
    <hyperlink ref="F152" r:id="rId142" xr:uid="{37C1A87B-C304-4D9E-932D-B11D7EC77B2B}"/>
    <hyperlink ref="F4" r:id="rId143" xr:uid="{6A8EE398-5798-406A-92DC-6B28B7937FC9}"/>
    <hyperlink ref="F5" r:id="rId144" xr:uid="{3F6DE07B-964B-4C8E-875D-B67921820DD6}"/>
    <hyperlink ref="F6" r:id="rId145" xr:uid="{CCDB38AB-F030-4780-B0D2-781893E883FD}"/>
    <hyperlink ref="F7" r:id="rId146" xr:uid="{040F47BE-20F4-48B7-9C8F-E48D9319F434}"/>
    <hyperlink ref="F8" r:id="rId147" xr:uid="{4D769A00-70E8-4260-85EF-B4F63F658E6E}"/>
    <hyperlink ref="F9" r:id="rId148" xr:uid="{04F4832B-468A-4211-B1FF-FE4D25F066A2}"/>
    <hyperlink ref="F10" r:id="rId149" xr:uid="{89D5D124-05BF-45D3-822B-C0C4CB60F254}"/>
    <hyperlink ref="F11" r:id="rId150" xr:uid="{B644EA2C-E010-497E-A1C0-CB9B985A1561}"/>
    <hyperlink ref="F12" r:id="rId151" xr:uid="{C94BAB14-7ACA-4C1E-BC63-9711A7C4B426}"/>
    <hyperlink ref="F151" r:id="rId152" xr:uid="{F6E45BA3-E31A-48E5-A0D0-198A6D70E80E}"/>
    <hyperlink ref="F13" r:id="rId153" xr:uid="{34691F40-D98C-4FDB-9CFD-DF93CB146B31}"/>
    <hyperlink ref="F14" r:id="rId154" xr:uid="{BADAA615-8BFB-4AE7-9D8A-E1CD5C3428DA}"/>
    <hyperlink ref="F150" r:id="rId155" xr:uid="{EDDB2941-5A44-4A71-9CD9-4A87719CF199}"/>
    <hyperlink ref="F15" r:id="rId156" xr:uid="{36720BEA-4323-4E44-9598-39AC87CB7CB4}"/>
    <hyperlink ref="F149" r:id="rId157" xr:uid="{3AA49194-5F89-44BD-B9B3-65003FEC201E}"/>
    <hyperlink ref="F16" r:id="rId158" xr:uid="{5A807CBC-2F87-4B81-8852-E853DF60EF2E}"/>
    <hyperlink ref="F17" r:id="rId159" xr:uid="{C107930A-33EB-49BE-90FB-4010DC3636CE}"/>
    <hyperlink ref="F148" r:id="rId160" xr:uid="{FA2609CE-A307-499A-BE8A-732A003FFB6A}"/>
    <hyperlink ref="F18" r:id="rId161" xr:uid="{7694524D-00B1-4786-B743-AC35D3F7C8B1}"/>
    <hyperlink ref="F19" r:id="rId162" xr:uid="{90A70F2E-F75B-4F78-A1D6-AB6EE10378AC}"/>
    <hyperlink ref="F147" r:id="rId163" xr:uid="{56243422-278B-49B1-B424-161C4B2D9A75}"/>
    <hyperlink ref="F20" r:id="rId164" xr:uid="{FDE641F5-CEDA-49E0-B54A-ABB98A583A62}"/>
    <hyperlink ref="F21" r:id="rId165" xr:uid="{D04FC085-2A8D-4F52-AAA1-3169B282D68E}"/>
    <hyperlink ref="F146" r:id="rId166" xr:uid="{A6A6B827-A35E-42C3-B9A2-E94E05FAE6DD}"/>
    <hyperlink ref="F22" r:id="rId167" xr:uid="{15A02301-F101-4418-85B7-C3C5660F4522}"/>
    <hyperlink ref="F145" r:id="rId168" xr:uid="{AAE4C857-DE21-4BF7-8D13-80888735AE1B}"/>
    <hyperlink ref="F23" r:id="rId169" xr:uid="{E8717558-BDF9-49FB-AC8F-DF469DC86EFD}"/>
    <hyperlink ref="F24" r:id="rId170" xr:uid="{8A610F84-67CC-44C5-8DDD-FA2A1322024B}"/>
    <hyperlink ref="F144" r:id="rId171" xr:uid="{91B65429-0B19-4D90-B345-AC46844C098E}"/>
    <hyperlink ref="F25" r:id="rId172" xr:uid="{332E8A05-B9F3-43A5-B497-1159AE0E0494}"/>
    <hyperlink ref="F26" r:id="rId173" xr:uid="{7C34431F-30E1-42A4-8D53-0368C87E0991}"/>
    <hyperlink ref="F143" r:id="rId174" xr:uid="{E6EBCD07-D08E-4D41-A32D-A02C0C9865F0}"/>
    <hyperlink ref="F27" r:id="rId175" xr:uid="{752A38D7-4223-4AFC-8567-0D2E08DFF6A9}"/>
    <hyperlink ref="F142" r:id="rId176" xr:uid="{EBF094CD-3B81-4D6B-9560-FBF28B465B2A}"/>
    <hyperlink ref="F28" r:id="rId177" xr:uid="{FFFE8AB2-437E-4C75-A7D1-C6CDE8119359}"/>
    <hyperlink ref="F29" r:id="rId178" xr:uid="{191D5B7A-AFC7-46FB-96E2-402C255D27F5}"/>
    <hyperlink ref="F141" r:id="rId179" xr:uid="{85A31164-E0DD-476A-8CCA-BD6D4B19EDD3}"/>
    <hyperlink ref="F30" r:id="rId180" xr:uid="{4F6E6710-4A2C-4A14-B22E-3280CA7448A8}"/>
    <hyperlink ref="F140" r:id="rId181" xr:uid="{DE88264C-7CA4-4E24-849E-44F5CA9F2F90}"/>
    <hyperlink ref="F31" r:id="rId182" xr:uid="{C62AD180-E2A8-46BB-9D91-2CC2FE2F5AE2}"/>
    <hyperlink ref="F139" r:id="rId183" xr:uid="{376842FB-B8F4-4B84-AB30-BDC5B8C030E0}"/>
    <hyperlink ref="F32" r:id="rId184" xr:uid="{3C93666F-EE45-4FF0-BC9D-DBE0B17F5820}"/>
    <hyperlink ref="F138" r:id="rId185" xr:uid="{1536D4AE-0ED0-4F47-BFD3-BDEDBA73F50C}"/>
    <hyperlink ref="F33" r:id="rId186" xr:uid="{B303E5D7-B242-4660-913A-053D348495FF}"/>
    <hyperlink ref="F34" r:id="rId187" xr:uid="{882F2F75-35BA-4F3B-A3EF-6B1C68A1C638}"/>
    <hyperlink ref="F137" r:id="rId188" xr:uid="{4A20AAB5-2AFB-4521-B4B5-63FDFEC0A9DC}"/>
    <hyperlink ref="F35" r:id="rId189" xr:uid="{5C059873-4034-40DB-9E68-15EDDA1458E3}"/>
    <hyperlink ref="F136" r:id="rId190" xr:uid="{04F6480E-D256-4117-B00D-411132A82B97}"/>
    <hyperlink ref="F36" r:id="rId191" xr:uid="{9B057583-C03E-4111-9816-783A1CBBE576}"/>
    <hyperlink ref="F135" r:id="rId192" xr:uid="{D20BD9C7-038A-4417-BBCD-07857744E93B}"/>
    <hyperlink ref="F37" r:id="rId193" xr:uid="{2C09C763-C267-4532-A3E6-82BD56D9812E}"/>
    <hyperlink ref="F134" r:id="rId194" xr:uid="{08126D36-5ADA-4659-8809-28EFCD18CD99}"/>
    <hyperlink ref="F38" r:id="rId195" xr:uid="{4045A129-8751-4D5F-90B7-05B3CDB80C8F}"/>
    <hyperlink ref="F39" r:id="rId196" xr:uid="{78E1F7CB-95C5-4665-835B-52A895358C4B}"/>
    <hyperlink ref="F133" r:id="rId197" xr:uid="{A095257E-5580-4A56-8E92-9D10AE43A0F6}"/>
    <hyperlink ref="F40" r:id="rId198" xr:uid="{25BC2A22-4F3E-44E8-A225-E7EE9E763853}"/>
    <hyperlink ref="F132" r:id="rId199" xr:uid="{E707309B-A657-44A1-BC3A-F0BFFBFB6BED}"/>
    <hyperlink ref="F41" r:id="rId200" xr:uid="{3CAA9FAA-192D-4E4D-9E94-47D997B013B2}"/>
    <hyperlink ref="F42" r:id="rId201" xr:uid="{FA50FAC7-6C6D-46D7-9E8E-25D44C5F3858}"/>
    <hyperlink ref="F131" r:id="rId202" xr:uid="{A95330CF-2447-4466-B9AF-7F53497AC8E4}"/>
    <hyperlink ref="F43" r:id="rId203" xr:uid="{CFA39135-19F9-4347-AAD6-516DFBB04E89}"/>
    <hyperlink ref="F44" r:id="rId204" xr:uid="{F7663510-50D7-480B-8673-38CF8D065BBF}"/>
    <hyperlink ref="F45" r:id="rId205" xr:uid="{36AA14DC-01A6-4FA7-A0C8-80CF80E2CD99}"/>
    <hyperlink ref="F46" r:id="rId206" xr:uid="{EC5E9CF7-8AD2-4AC9-8578-39BED4D6B985}"/>
    <hyperlink ref="F47" r:id="rId207" xr:uid="{2BF64DA0-BBB1-4FAC-A7D6-ABE70FB45AD0}"/>
    <hyperlink ref="F48" r:id="rId208" xr:uid="{22E35927-E5BB-4511-8D6A-7A70EEC4A962}"/>
    <hyperlink ref="F121" r:id="rId209" xr:uid="{DC225CA3-9B9D-44D5-B805-ECBD56F1BC6F}"/>
    <hyperlink ref="F49" r:id="rId210" xr:uid="{0458601E-8E29-49AD-96C4-6D4EE2B45D05}"/>
    <hyperlink ref="F120" r:id="rId211" xr:uid="{D8AE4BB9-A930-44ED-9EDA-A00E1A077418}"/>
    <hyperlink ref="F50" r:id="rId212" xr:uid="{64618BE8-4245-4F27-8CA4-2BDC74CCB8D8}"/>
    <hyperlink ref="F119" r:id="rId213" xr:uid="{140A35A2-E7CA-46B6-8B9F-A7643636BAE4}"/>
    <hyperlink ref="F51" r:id="rId214" xr:uid="{4B805B8B-341F-4CEB-8788-A54966347434}"/>
    <hyperlink ref="F118" r:id="rId215" xr:uid="{30707EFC-5C3A-4FB2-876B-676873D0714B}"/>
    <hyperlink ref="F52" r:id="rId216" xr:uid="{EC44A2E8-C778-4BA7-A88D-4CC3AE0FF4A4}"/>
    <hyperlink ref="F117" r:id="rId217" xr:uid="{8B50A324-FB15-40CE-9227-74462C3C3598}"/>
    <hyperlink ref="F53" r:id="rId218" xr:uid="{1189F01F-2BCB-4C3E-9294-9FF9DBFF8151}"/>
    <hyperlink ref="F116" r:id="rId219" xr:uid="{C597296F-3A03-44FA-9573-F88ECA135AB1}"/>
    <hyperlink ref="F54" r:id="rId220" xr:uid="{F06380DB-7290-4B51-9123-0687E9E0C546}"/>
    <hyperlink ref="F55" r:id="rId221" xr:uid="{7789ED6D-E9E2-415B-BED3-F759A6D0B068}"/>
    <hyperlink ref="F115" r:id="rId222" xr:uid="{ED546BA8-A0A5-4BB1-AAD8-DA664E5DDD61}"/>
    <hyperlink ref="F56" r:id="rId223" xr:uid="{AEE0285F-08B8-4206-A425-CD4A1F19C2B0}"/>
    <hyperlink ref="F57" r:id="rId224" xr:uid="{55FB80E5-DEC3-4F6D-A40C-762DBA6435E6}"/>
    <hyperlink ref="F58" r:id="rId225" xr:uid="{03A36907-730F-4DE8-940A-B159EEF87F81}"/>
    <hyperlink ref="F114" r:id="rId226" xr:uid="{A23CAE08-D1CC-4B99-983E-E30AD7EB0F47}"/>
    <hyperlink ref="F59" r:id="rId227" xr:uid="{29FDA2FA-1FA6-41C0-8B0E-0C973073893A}"/>
    <hyperlink ref="F113" r:id="rId228" xr:uid="{678B73B3-402C-4AAE-9273-69331D6317F9}"/>
    <hyperlink ref="F60" r:id="rId229" xr:uid="{7C070514-C1CD-4D12-8E51-DF1917AE2700}"/>
    <hyperlink ref="F112" r:id="rId230" xr:uid="{EDCA7DB4-C566-4144-80BC-F6C2AEA02149}"/>
    <hyperlink ref="F61" r:id="rId231" xr:uid="{1AF4152B-2426-47A9-BE95-24F2546E618B}"/>
    <hyperlink ref="F62" r:id="rId232" xr:uid="{AE7DB195-F9F3-4351-A8CC-C09615B7BA9E}"/>
    <hyperlink ref="F63" r:id="rId233" xr:uid="{0B2988C5-BA3C-42EA-B1A3-F4ABFD61876F}"/>
    <hyperlink ref="F64" r:id="rId234" xr:uid="{FAB12D2C-73DD-44E4-9A79-F110229087EA}"/>
    <hyperlink ref="F65" r:id="rId235" xr:uid="{34DFE134-5B1A-426C-809E-76E513E5A9B2}"/>
    <hyperlink ref="F66" r:id="rId236" xr:uid="{0A81E07B-AE5A-492D-8EE3-FD0374D0B70B}"/>
    <hyperlink ref="F67" r:id="rId237" xr:uid="{1119F100-F020-45CA-A042-4C0DA4F07291}"/>
    <hyperlink ref="F68" r:id="rId238" xr:uid="{039332C7-E7C0-420A-B1D1-336764D3DE18}"/>
    <hyperlink ref="F69" r:id="rId239" xr:uid="{43513340-3840-4A59-B03A-FBB920C3503A}"/>
    <hyperlink ref="F70" r:id="rId240" xr:uid="{3BE1A4AE-6A11-4E68-845E-6D5D45DDE463}"/>
    <hyperlink ref="F71" r:id="rId241" xr:uid="{DF3DD337-0D91-4847-A2CB-C90B34E3663D}"/>
    <hyperlink ref="F72" r:id="rId242" xr:uid="{FAFF30AB-D09F-4FF6-8055-A7854D3F6793}"/>
    <hyperlink ref="F73" r:id="rId243" xr:uid="{5A4A2A15-C1DB-4ED0-9F1B-0E17A9093E7E}"/>
    <hyperlink ref="F74" r:id="rId244" xr:uid="{516F17D2-8558-4809-A915-738FA74E32B0}"/>
    <hyperlink ref="F75" r:id="rId245" xr:uid="{D9A67963-653E-4FFE-8CA5-55F0F2B273E2}"/>
    <hyperlink ref="F76" r:id="rId246" xr:uid="{7BA4214F-029E-4017-A593-9E8AC17ABE0D}"/>
    <hyperlink ref="F77" r:id="rId247" xr:uid="{6FD1CDEE-A514-4B32-A6B2-E29040AD93B9}"/>
    <hyperlink ref="F78" r:id="rId248" xr:uid="{9676682D-45E0-4344-813C-439EB1AD2C4C}"/>
    <hyperlink ref="F79" r:id="rId249" xr:uid="{715313DE-21A6-48AF-871B-156957A31F35}"/>
    <hyperlink ref="F80" r:id="rId250" xr:uid="{3B9C664E-4570-4DD5-BA13-13691E8BDA3D}"/>
    <hyperlink ref="F81" r:id="rId251" xr:uid="{B825DF06-8B20-4FB6-89F7-3AB428428C55}"/>
    <hyperlink ref="F82" r:id="rId252" xr:uid="{DE3B03AF-3C0E-4E84-B231-9A1ECE01C73D}"/>
    <hyperlink ref="F83" r:id="rId253" xr:uid="{237B7B06-0BC4-4CFA-BC9C-FDCA2EE5C5A7}"/>
    <hyperlink ref="F84" r:id="rId254" xr:uid="{0A100BAF-0B73-46A4-AA75-B6C4E1EA7C96}"/>
    <hyperlink ref="F85" r:id="rId255" xr:uid="{C000BD8B-60C5-490E-B836-F00704FD61D3}"/>
    <hyperlink ref="F111" r:id="rId256" xr:uid="{83FD4B4C-ABF6-48CF-AF9C-D40AD0B94F5E}"/>
    <hyperlink ref="F86" r:id="rId257" xr:uid="{A5413B51-ED25-4657-AF37-B1853E126831}"/>
    <hyperlink ref="F87" r:id="rId258" xr:uid="{546006CB-D984-496F-88CE-1202969E0FC6}"/>
    <hyperlink ref="F110" r:id="rId259" xr:uid="{755E1E8E-DC66-4465-9946-631F0E983EF0}"/>
    <hyperlink ref="F109" r:id="rId260" xr:uid="{E4A9AA5E-F9D7-4689-89F9-959661DB34EE}"/>
    <hyperlink ref="F108" r:id="rId261" xr:uid="{DE06B536-31A4-47D1-BFC4-C5762049694C}"/>
    <hyperlink ref="F107" r:id="rId262" xr:uid="{24F4EE98-CF19-46A7-8481-DD8038A856FC}"/>
    <hyperlink ref="F88" r:id="rId263" xr:uid="{1EF1B40B-2AA3-4403-880D-6240CA4E2ACC}"/>
    <hyperlink ref="F106" r:id="rId264" xr:uid="{545F0197-10C4-4F8D-B2DB-1FEC533713AF}"/>
    <hyperlink ref="H89" r:id="rId265" display="26728" xr:uid="{75D99515-B1B1-4473-B114-EFAA43599FD1}"/>
    <hyperlink ref="F105" r:id="rId266" xr:uid="{E7820464-C4F6-43D0-895C-A2D5DB02740F}"/>
    <hyperlink ref="F104" r:id="rId267" xr:uid="{9DB8EEDD-523E-4FE3-B428-E10BE0A67630}"/>
    <hyperlink ref="F89:F90" r:id="rId268" display="https://maps.app.goo.gl/skXcFZfpsuNDrEDg9" xr:uid="{EC286C60-5381-4858-9F94-6D154C5F341B}"/>
    <hyperlink ref="F103" r:id="rId269" xr:uid="{C1753862-1CAE-41EE-8304-42C954961AB5}"/>
    <hyperlink ref="F91" r:id="rId270" xr:uid="{494544E8-3FD6-4537-8172-FC790A602D32}"/>
    <hyperlink ref="F102" r:id="rId271" xr:uid="{274AAAEA-B3E1-4969-A35E-51FB4B67142F}"/>
    <hyperlink ref="F101" r:id="rId272" xr:uid="{E3A96D0A-FB71-4096-8FE7-DAC62502C893}"/>
    <hyperlink ref="H92" r:id="rId273" display="27045" xr:uid="{A823BE2C-A0CF-4108-B4F1-703542EB5CD6}"/>
    <hyperlink ref="F92" r:id="rId274" xr:uid="{E47D2E6B-5B02-4D7F-A752-88080B7ADD81}"/>
    <hyperlink ref="F100" r:id="rId275" xr:uid="{676494B2-A72B-47B0-96E0-73CDCF302A55}"/>
    <hyperlink ref="F99" r:id="rId276" xr:uid="{7F983675-25E2-4EF7-B2B5-B3D59E1F7684}"/>
    <hyperlink ref="F93" r:id="rId277" xr:uid="{B12CD6AC-F620-46AB-BB6A-ACFEF7E497AF}"/>
    <hyperlink ref="F98" r:id="rId278" xr:uid="{FE093683-E98A-4679-BF08-7464238DC2AB}"/>
    <hyperlink ref="F94" r:id="rId279" xr:uid="{E090D110-1004-464D-B1A6-8439A99971D5}"/>
    <hyperlink ref="F97" r:id="rId280" xr:uid="{F1F50988-60CE-4F95-9677-825397736EFE}"/>
    <hyperlink ref="F95" r:id="rId281" xr:uid="{31FF390D-10A2-49F7-A4D8-034EF42FA272}"/>
    <hyperlink ref="F96" r:id="rId282" xr:uid="{BDEC88EF-66A1-4B9B-A7D8-14EBCCF385FB}"/>
    <hyperlink ref="H122" r:id="rId283" display="26950" xr:uid="{0D2AF6E8-FEF5-44EF-8E67-B2C0C6AD4E18}"/>
    <hyperlink ref="F122" r:id="rId284" xr:uid="{7120CD3D-D05A-435F-B2EB-67D140D2B61F}"/>
    <hyperlink ref="H123" r:id="rId285" display="26949" xr:uid="{BEA065B9-D2FA-4E42-B8C0-722775AFF0B2}"/>
    <hyperlink ref="F123" r:id="rId286" xr:uid="{AE2ECD8B-7CD4-4804-A752-CE0BD02EB2DC}"/>
    <hyperlink ref="H124" r:id="rId287" display="26948" xr:uid="{45A69B93-AC90-4553-A005-C524BD4D88E7}"/>
    <hyperlink ref="F124" r:id="rId288" xr:uid="{888F17DD-F813-4635-B9D6-C01164856EC6}"/>
    <hyperlink ref="H125" r:id="rId289" display="26947" xr:uid="{AF28E11D-8741-4F10-B6AF-4E28CC08F53A}"/>
    <hyperlink ref="F125" r:id="rId290" xr:uid="{3D2B23C9-4216-4C28-AAC4-C0D82F335D78}"/>
    <hyperlink ref="H126" r:id="rId291" display="26946" xr:uid="{EA919283-DC05-4F8B-BA9E-A546660046CE}"/>
    <hyperlink ref="F126" r:id="rId292" xr:uid="{D16C30AD-0B18-49C3-94E2-A14685B452AB}"/>
    <hyperlink ref="H127" r:id="rId293" display="26945" xr:uid="{81A27C1A-76F6-4C53-B93C-A3B9395E5D76}"/>
    <hyperlink ref="F127" r:id="rId294" xr:uid="{488233DD-379B-4577-8F42-286510920AAF}"/>
    <hyperlink ref="H128" r:id="rId295" display="26944" xr:uid="{FE64D7E5-BA79-4B18-981D-ADE7A589C39E}"/>
    <hyperlink ref="F128" r:id="rId296" xr:uid="{4E805579-4EBC-4CA7-B4CD-EBB0FACB2A24}"/>
    <hyperlink ref="H129" r:id="rId297" display="26943" xr:uid="{1DC17AD2-9885-4C41-A7EA-87A704DF368E}"/>
    <hyperlink ref="F129" r:id="rId298" xr:uid="{4A088F9E-7E9F-4137-8500-3DC35800A7F9}"/>
    <hyperlink ref="H130" r:id="rId299" display="26942" xr:uid="{AF682071-5394-457D-978C-2D5BCE0F0991}"/>
    <hyperlink ref="F130" r:id="rId300" xr:uid="{6AED2056-F97E-46F9-9DF7-307444E80843}"/>
    <hyperlink ref="H153" r:id="rId301" display="27885" xr:uid="{FB162B5E-BA6B-4EA2-8C37-B583A7EC69A7}"/>
    <hyperlink ref="F153" r:id="rId302" xr:uid="{E6C417BC-3640-4CA9-AD85-D9307140D8E0}"/>
    <hyperlink ref="H154" r:id="rId303" display="27030" xr:uid="{71164043-B1C1-48EF-A375-8F9001F885A3}"/>
    <hyperlink ref="F154" r:id="rId304" xr:uid="{E7896E25-2BEF-4027-9C7D-013FD45D0496}"/>
    <hyperlink ref="F155" r:id="rId305" xr:uid="{8188AA3F-0290-43CA-9B68-321C19C967B7}"/>
    <hyperlink ref="H155" r:id="rId306" display="3606" xr:uid="{85668075-16DF-43AE-8ED7-ABA297ADCB77}"/>
    <hyperlink ref="H158" r:id="rId307" display="16706" xr:uid="{9EF84CFF-2032-4C2D-9A45-BBC0C3A2AF88}"/>
    <hyperlink ref="F158" r:id="rId308" xr:uid="{7EDA0773-FE18-4733-B551-B3039BF1BADE}"/>
    <hyperlink ref="H157" r:id="rId309" display="16116" xr:uid="{E4E04D86-07D8-405B-9480-C2309B35E0D6}"/>
    <hyperlink ref="F157" r:id="rId310" xr:uid="{4BF75E54-EF26-4B91-B96A-7EBD20F255F9}"/>
    <hyperlink ref="H156" r:id="rId311" display="28221" xr:uid="{136CAFAE-4050-4502-B330-B4F3C702E7BB}"/>
    <hyperlink ref="F156" r:id="rId312" xr:uid="{E5D5D5F9-7F2D-4B4C-B40C-92F35EF2843F}"/>
    <hyperlink ref="F159" r:id="rId313" xr:uid="{9313A7CA-5D3E-43A3-B70B-72765A29D24C}"/>
    <hyperlink ref="H160" r:id="rId314" display="28228" xr:uid="{29076C8C-7F91-4683-A8BB-2B7D90018EF8}"/>
    <hyperlink ref="F160" r:id="rId315" xr:uid="{8E0D3209-A2E3-4E11-B048-821D32E80E34}"/>
    <hyperlink ref="H161" r:id="rId316" display="28248" xr:uid="{8919BAEF-48EB-46B5-A07D-9344F140E05C}"/>
    <hyperlink ref="H162" r:id="rId317" display="28247" xr:uid="{570F0F06-AA08-4DDF-9F12-CCE6377CE36B}"/>
    <hyperlink ref="H163" r:id="rId318" display="28246" xr:uid="{506C9F8A-A5C8-414E-9479-F6EE1529D829}"/>
    <hyperlink ref="H164" r:id="rId319" display="28245" xr:uid="{048B7449-43AE-47E4-B3D3-6FB4358E268C}"/>
    <hyperlink ref="F161" r:id="rId320" xr:uid="{28F425F5-A863-43B8-A4D0-B19391906B74}"/>
    <hyperlink ref="F162" r:id="rId321" xr:uid="{76239024-8FB4-4C1F-847E-31B18716211C}"/>
    <hyperlink ref="F163" r:id="rId322" xr:uid="{895AD09F-FB37-4B02-807B-B2DE29A007BF}"/>
    <hyperlink ref="F164" r:id="rId323" xr:uid="{C2E2D108-41C2-4B99-BD3D-083FDB079E30}"/>
    <hyperlink ref="F165" r:id="rId324" xr:uid="{428D0A6D-1700-442A-9784-E2512B5C0F4E}"/>
    <hyperlink ref="F166" r:id="rId325" xr:uid="{3D1E328F-103B-4032-BB34-9CCBB0EF6314}"/>
    <hyperlink ref="F167" r:id="rId326" xr:uid="{C59C4FB7-D14D-4A2E-A4CA-BD693C804721}"/>
    <hyperlink ref="H166" r:id="rId327" display="28708" xr:uid="{05CEC5BE-7B10-409E-8001-7133EBA7DE85}"/>
    <hyperlink ref="F168" r:id="rId328" xr:uid="{D0E8FB73-7343-4DF9-B254-430BA77B1A64}"/>
    <hyperlink ref="H168" r:id="rId329" display="28709" xr:uid="{1399731F-753C-44D9-BD32-14D284A06F3A}"/>
    <hyperlink ref="H167" r:id="rId330" display="28710" xr:uid="{92E660FF-3C92-450E-9598-467AD41C3588}"/>
    <hyperlink ref="H109" r:id="rId331" display="26979" xr:uid="{BBF89522-886F-4FFC-8C15-715F1F12F408}"/>
    <hyperlink ref="F169" r:id="rId332" xr:uid="{DE3DD002-D07B-40D7-AD1C-1EAB0ED67688}"/>
    <hyperlink ref="H169" r:id="rId333" display="28715" xr:uid="{C72023F9-1618-4082-867A-5CC0647845ED}"/>
    <hyperlink ref="F170" r:id="rId334" xr:uid="{D8BBDF08-2ACE-4D61-A576-FDFE819C34BA}"/>
    <hyperlink ref="H170" r:id="rId335" display="https://ts.contel.com.br/operational/activities/15942/edit" xr:uid="{B4AA699D-4DED-4210-A00B-B41A8F482F82}"/>
    <hyperlink ref="F171" r:id="rId336" xr:uid="{2927980A-F81C-4B2F-9A33-A503879E3E1B}"/>
    <hyperlink ref="H171" r:id="rId337" display="3972" xr:uid="{E7F0B911-3485-4B93-81BF-6DA769274A7D}"/>
  </hyperlinks>
  <pageMargins left="0.75" right="0.75" top="1" bottom="1" header="0.5" footer="0.5"/>
  <pageSetup paperSize="9" orientation="portrait" horizontalDpi="1200" verticalDpi="1200" r:id="rId338"/>
  <tableParts count="1">
    <tablePart r:id="rId33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3A03-C793-43DE-95B0-2E0255A2229C}">
  <dimension ref="A1:H186"/>
  <sheetViews>
    <sheetView showGridLines="0" topLeftCell="A155" workbookViewId="0">
      <selection activeCell="B174" sqref="B174"/>
    </sheetView>
  </sheetViews>
  <sheetFormatPr defaultRowHeight="14.4" x14ac:dyDescent="0.3"/>
  <cols>
    <col min="1" max="1" width="20.5546875" style="1" bestFit="1" customWidth="1"/>
    <col min="2" max="2" width="23.33203125" style="3" bestFit="1" customWidth="1"/>
    <col min="3" max="3" width="14.5546875" style="2" customWidth="1"/>
    <col min="4" max="4" width="17" style="3" customWidth="1"/>
    <col min="5" max="5" width="13.6640625" style="2" bestFit="1" customWidth="1"/>
    <col min="6" max="6" width="14.109375" style="3" customWidth="1"/>
    <col min="7" max="7" width="14.33203125" style="2" bestFit="1" customWidth="1"/>
  </cols>
  <sheetData>
    <row r="1" spans="1:8" x14ac:dyDescent="0.3">
      <c r="A1" s="40" t="s">
        <v>0</v>
      </c>
      <c r="B1" s="19" t="s">
        <v>510</v>
      </c>
      <c r="C1" s="19" t="s">
        <v>511</v>
      </c>
      <c r="D1" s="19" t="s">
        <v>512</v>
      </c>
      <c r="E1" s="19" t="s">
        <v>513</v>
      </c>
      <c r="F1" s="19" t="s">
        <v>514</v>
      </c>
      <c r="G1" s="41" t="s">
        <v>515</v>
      </c>
      <c r="H1" s="19" t="s">
        <v>516</v>
      </c>
    </row>
    <row r="2" spans="1:8" x14ac:dyDescent="0.3">
      <c r="A2" s="42" t="str">
        <f>IF(PLANEJAMENTO!A2="","",PLANEJAMENTO!A2)</f>
        <v>BR88410-A</v>
      </c>
      <c r="B2" s="23" t="s">
        <v>517</v>
      </c>
      <c r="C2" s="25">
        <v>10500</v>
      </c>
      <c r="D2" s="23" t="s">
        <v>518</v>
      </c>
      <c r="E2" s="25">
        <v>506</v>
      </c>
      <c r="F2" s="23"/>
      <c r="G2" s="43"/>
      <c r="H2" s="48"/>
    </row>
    <row r="3" spans="1:8" x14ac:dyDescent="0.3">
      <c r="A3" s="42" t="str">
        <f>IF(PLANEJAMENTO!A3="","",PLANEJAMENTO!A3)</f>
        <v>BR87873-R</v>
      </c>
      <c r="B3" s="23" t="s">
        <v>519</v>
      </c>
      <c r="C3" s="25">
        <v>800</v>
      </c>
      <c r="D3" s="23"/>
      <c r="E3" s="25"/>
      <c r="F3" s="23"/>
      <c r="G3" s="43"/>
      <c r="H3" s="48"/>
    </row>
    <row r="4" spans="1:8" x14ac:dyDescent="0.3">
      <c r="A4" s="42" t="str">
        <f>IF(PLANEJAMENTO!A4="","",PLANEJAMENTO!A4)</f>
        <v>BR72396-A</v>
      </c>
      <c r="B4" s="23" t="s">
        <v>520</v>
      </c>
      <c r="C4" s="25">
        <v>1300</v>
      </c>
      <c r="D4" s="23"/>
      <c r="E4" s="25"/>
      <c r="F4" s="23"/>
      <c r="G4" s="43"/>
      <c r="H4" s="48"/>
    </row>
    <row r="5" spans="1:8" x14ac:dyDescent="0.3">
      <c r="A5" s="42">
        <f>IF(PLANEJAMENTO!A5="","",PLANEJAMENTO!A5)</f>
        <v>47080009</v>
      </c>
      <c r="B5" s="23" t="s">
        <v>521</v>
      </c>
      <c r="C5" s="25">
        <v>10000</v>
      </c>
      <c r="D5" s="23"/>
      <c r="E5" s="25"/>
      <c r="F5" s="23"/>
      <c r="G5" s="43"/>
      <c r="H5" s="48"/>
    </row>
    <row r="6" spans="1:8" x14ac:dyDescent="0.3">
      <c r="A6" s="42">
        <f>IF(PLANEJAMENTO!A6="","",PLANEJAMENTO!A6)</f>
        <v>38050011</v>
      </c>
      <c r="B6" s="23" t="s">
        <v>522</v>
      </c>
      <c r="C6" s="25">
        <v>0</v>
      </c>
      <c r="D6" s="23"/>
      <c r="E6" s="25"/>
      <c r="F6" s="23"/>
      <c r="G6" s="43"/>
      <c r="H6" s="48"/>
    </row>
    <row r="7" spans="1:8" x14ac:dyDescent="0.3">
      <c r="A7" s="42">
        <f>IF(PLANEJAMENTO!A7="","",PLANEJAMENTO!A7)</f>
        <v>38050012</v>
      </c>
      <c r="B7" s="23" t="s">
        <v>522</v>
      </c>
      <c r="C7" s="25">
        <v>0</v>
      </c>
      <c r="D7" s="23"/>
      <c r="E7" s="25"/>
      <c r="F7" s="23"/>
      <c r="G7" s="43"/>
      <c r="H7" s="48"/>
    </row>
    <row r="8" spans="1:8" x14ac:dyDescent="0.3">
      <c r="A8" s="42">
        <f>IF(PLANEJAMENTO!A8="","",PLANEJAMENTO!A8)</f>
        <v>33050064</v>
      </c>
      <c r="B8" s="23" t="s">
        <v>520</v>
      </c>
      <c r="C8" s="25">
        <v>26000</v>
      </c>
      <c r="D8" s="23"/>
      <c r="E8" s="25"/>
      <c r="F8" s="23"/>
      <c r="G8" s="43"/>
      <c r="H8" s="48"/>
    </row>
    <row r="9" spans="1:8" x14ac:dyDescent="0.3">
      <c r="A9" s="42">
        <f>IF(PLANEJAMENTO!A9="","",PLANEJAMENTO!A9)</f>
        <v>38050013</v>
      </c>
      <c r="B9" s="23" t="s">
        <v>523</v>
      </c>
      <c r="C9" s="25">
        <v>27500</v>
      </c>
      <c r="D9" s="23"/>
      <c r="E9" s="25"/>
      <c r="F9" s="23"/>
      <c r="G9" s="43"/>
      <c r="H9" s="48"/>
    </row>
    <row r="10" spans="1:8" x14ac:dyDescent="0.3">
      <c r="A10" s="42">
        <f>IF(PLANEJAMENTO!A10="","",PLANEJAMENTO!A10)</f>
        <v>38050008</v>
      </c>
      <c r="B10" s="23" t="s">
        <v>524</v>
      </c>
      <c r="C10" s="25">
        <v>27000</v>
      </c>
      <c r="D10" s="23"/>
      <c r="E10" s="25"/>
      <c r="F10" s="23"/>
      <c r="G10" s="43"/>
      <c r="H10" s="48"/>
    </row>
    <row r="11" spans="1:8" x14ac:dyDescent="0.3">
      <c r="A11" s="42">
        <f>IF(PLANEJAMENTO!A11="","",PLANEJAMENTO!A11)</f>
        <v>88050062</v>
      </c>
      <c r="B11" s="23" t="s">
        <v>525</v>
      </c>
      <c r="C11" s="25">
        <v>24500</v>
      </c>
      <c r="D11" s="23"/>
      <c r="E11" s="25"/>
      <c r="F11" s="23"/>
      <c r="G11" s="43"/>
      <c r="H11" s="48"/>
    </row>
    <row r="12" spans="1:8" x14ac:dyDescent="0.3">
      <c r="A12" s="42">
        <f>IF(PLANEJAMENTO!A12="","",PLANEJAMENTO!A12)</f>
        <v>88050069</v>
      </c>
      <c r="B12" s="23" t="s">
        <v>522</v>
      </c>
      <c r="C12" s="25">
        <v>0</v>
      </c>
      <c r="D12" s="23"/>
      <c r="E12" s="25"/>
      <c r="F12" s="23"/>
      <c r="G12" s="43"/>
      <c r="H12" s="48"/>
    </row>
    <row r="13" spans="1:8" x14ac:dyDescent="0.3">
      <c r="A13" s="42">
        <f>IF(PLANEJAMENTO!A13="","",PLANEJAMENTO!A13)</f>
        <v>83010085</v>
      </c>
      <c r="B13" s="23"/>
      <c r="C13" s="25">
        <v>0</v>
      </c>
      <c r="D13" s="23"/>
      <c r="E13" s="25"/>
      <c r="F13" s="23"/>
      <c r="G13" s="43"/>
      <c r="H13" s="48"/>
    </row>
    <row r="14" spans="1:8" x14ac:dyDescent="0.3">
      <c r="A14" s="42">
        <f>IF(PLANEJAMENTO!A14="","",PLANEJAMENTO!A14)</f>
        <v>89050013</v>
      </c>
      <c r="B14" s="23"/>
      <c r="C14" s="25">
        <v>0</v>
      </c>
      <c r="D14" s="23"/>
      <c r="E14" s="25"/>
      <c r="F14" s="23"/>
      <c r="G14" s="43"/>
      <c r="H14" s="48"/>
    </row>
    <row r="15" spans="1:8" x14ac:dyDescent="0.3">
      <c r="A15" s="42" t="str">
        <f>IF(PLANEJAMENTO!A15="","",PLANEJAMENTO!A15)</f>
        <v>BR55017-A</v>
      </c>
      <c r="B15" s="23" t="s">
        <v>526</v>
      </c>
      <c r="C15" s="25">
        <v>7800</v>
      </c>
      <c r="D15" s="23"/>
      <c r="E15" s="25"/>
      <c r="F15" s="23"/>
      <c r="G15" s="43"/>
      <c r="H15" s="48"/>
    </row>
    <row r="16" spans="1:8" x14ac:dyDescent="0.3">
      <c r="A16" s="42" t="str">
        <f>IF(PLANEJAMENTO!A16="","",PLANEJAMENTO!A16)</f>
        <v>BR56393-A</v>
      </c>
      <c r="B16" s="23" t="s">
        <v>520</v>
      </c>
      <c r="C16" s="25">
        <v>5900</v>
      </c>
      <c r="D16" s="23"/>
      <c r="E16" s="25"/>
      <c r="F16" s="23"/>
      <c r="G16" s="43"/>
      <c r="H16" s="48"/>
    </row>
    <row r="17" spans="1:8" x14ac:dyDescent="0.3">
      <c r="A17" s="42" t="str">
        <f>IF(PLANEJAMENTO!A17="","",PLANEJAMENTO!A17)</f>
        <v>BR72051-A</v>
      </c>
      <c r="B17" s="23" t="s">
        <v>526</v>
      </c>
      <c r="C17" s="25">
        <v>2600</v>
      </c>
      <c r="D17" s="23"/>
      <c r="E17" s="25"/>
      <c r="F17" s="23"/>
      <c r="G17" s="43"/>
      <c r="H17" s="48"/>
    </row>
    <row r="18" spans="1:8" x14ac:dyDescent="0.3">
      <c r="A18" s="42" t="str">
        <f>IF(PLANEJAMENTO!A18="","",PLANEJAMENTO!A18)</f>
        <v>BR72113-A</v>
      </c>
      <c r="B18" s="23" t="s">
        <v>520</v>
      </c>
      <c r="C18" s="25">
        <v>7100</v>
      </c>
      <c r="D18" s="23"/>
      <c r="E18" s="25"/>
      <c r="F18" s="23"/>
      <c r="G18" s="43"/>
      <c r="H18" s="48"/>
    </row>
    <row r="19" spans="1:8" x14ac:dyDescent="0.3">
      <c r="A19" s="42" t="str">
        <f>IF(PLANEJAMENTO!A19="","",PLANEJAMENTO!A19)</f>
        <v>BR80008-A</v>
      </c>
      <c r="B19" s="23" t="s">
        <v>527</v>
      </c>
      <c r="C19" s="25">
        <v>4000</v>
      </c>
      <c r="D19" s="23"/>
      <c r="E19" s="25"/>
      <c r="F19" s="23"/>
      <c r="G19" s="43"/>
      <c r="H19" s="48"/>
    </row>
    <row r="20" spans="1:8" x14ac:dyDescent="0.3">
      <c r="A20" s="42" t="str">
        <f>IF(PLANEJAMENTO!A20="","",PLANEJAMENTO!A20)</f>
        <v>SPVTR004</v>
      </c>
      <c r="B20" s="23" t="s">
        <v>528</v>
      </c>
      <c r="C20" s="25">
        <v>67992.100000000006</v>
      </c>
      <c r="D20" s="23"/>
      <c r="E20" s="25"/>
      <c r="F20" s="23"/>
      <c r="G20" s="43"/>
      <c r="H20" s="48"/>
    </row>
    <row r="21" spans="1:8" x14ac:dyDescent="0.3">
      <c r="A21" s="42" t="str">
        <f>IF(PLANEJAMENTO!A21="","",PLANEJAMENTO!A21)</f>
        <v>BR88343-R</v>
      </c>
      <c r="B21" s="23" t="s">
        <v>522</v>
      </c>
      <c r="C21" s="25">
        <v>0</v>
      </c>
      <c r="D21" s="23"/>
      <c r="E21" s="25"/>
      <c r="F21" s="23"/>
      <c r="G21" s="43"/>
      <c r="H21" s="48"/>
    </row>
    <row r="22" spans="1:8" x14ac:dyDescent="0.3">
      <c r="A22" s="42" t="str">
        <f>IF(PLANEJAMENTO!A22="","",PLANEJAMENTO!A22)</f>
        <v>SCP-ALY-001</v>
      </c>
      <c r="B22" s="23" t="s">
        <v>529</v>
      </c>
      <c r="C22" s="25">
        <v>68500</v>
      </c>
      <c r="D22" s="23"/>
      <c r="E22" s="25"/>
      <c r="F22" s="23"/>
      <c r="G22" s="43"/>
      <c r="H22" s="48"/>
    </row>
    <row r="23" spans="1:8" x14ac:dyDescent="0.3">
      <c r="A23" s="42" t="str">
        <f>IF(PLANEJAMENTO!A23="","",PLANEJAMENTO!A23)</f>
        <v>BR56770-A</v>
      </c>
      <c r="B23" s="23" t="s">
        <v>530</v>
      </c>
      <c r="C23" s="25">
        <v>4700</v>
      </c>
      <c r="D23" s="23"/>
      <c r="E23" s="25"/>
      <c r="F23" s="23"/>
      <c r="G23" s="43"/>
      <c r="H23" s="48"/>
    </row>
    <row r="24" spans="1:8" x14ac:dyDescent="0.3">
      <c r="A24" s="42" t="str">
        <f>IF(PLANEJAMENTO!A24="","",PLANEJAMENTO!A24)</f>
        <v>BR67246-A</v>
      </c>
      <c r="B24" s="23" t="s">
        <v>531</v>
      </c>
      <c r="C24" s="25">
        <v>7000</v>
      </c>
      <c r="D24" s="23"/>
      <c r="E24" s="25"/>
      <c r="F24" s="23"/>
      <c r="G24" s="43"/>
      <c r="H24" s="48"/>
    </row>
    <row r="25" spans="1:8" x14ac:dyDescent="0.3">
      <c r="A25" s="42" t="str">
        <f>IF(PLANEJAMENTO!A25="","",PLANEJAMENTO!A25)</f>
        <v>BR67084-R</v>
      </c>
      <c r="B25" s="23" t="s">
        <v>532</v>
      </c>
      <c r="C25" s="25">
        <v>6000</v>
      </c>
      <c r="D25" s="23"/>
      <c r="E25" s="25"/>
      <c r="F25" s="23"/>
      <c r="G25" s="43"/>
      <c r="H25" s="48"/>
    </row>
    <row r="26" spans="1:8" x14ac:dyDescent="0.3">
      <c r="A26" s="42" t="str">
        <f>IF(PLANEJAMENTO!A26="","",PLANEJAMENTO!A26)</f>
        <v>BR66924-R</v>
      </c>
      <c r="B26" s="23" t="s">
        <v>532</v>
      </c>
      <c r="C26" s="25">
        <v>10000</v>
      </c>
      <c r="D26" s="23"/>
      <c r="E26" s="25"/>
      <c r="F26" s="23"/>
      <c r="G26" s="43"/>
      <c r="H26" s="48"/>
    </row>
    <row r="27" spans="1:8" x14ac:dyDescent="0.3">
      <c r="A27" s="42" t="str">
        <f>IF(PLANEJAMENTO!A27="","",PLANEJAMENTO!A27)</f>
        <v>BR67024-R</v>
      </c>
      <c r="B27" s="23" t="s">
        <v>532</v>
      </c>
      <c r="C27" s="25">
        <v>5500</v>
      </c>
      <c r="D27" s="23"/>
      <c r="E27" s="25"/>
      <c r="F27" s="23"/>
      <c r="G27" s="43"/>
      <c r="H27" s="48"/>
    </row>
    <row r="28" spans="1:8" x14ac:dyDescent="0.3">
      <c r="A28" s="42" t="str">
        <f>IF(PLANEJAMENTO!A28="","",PLANEJAMENTO!A28)</f>
        <v>BR66989-R</v>
      </c>
      <c r="B28" s="23" t="s">
        <v>532</v>
      </c>
      <c r="C28" s="25">
        <v>6000</v>
      </c>
      <c r="D28" s="23"/>
      <c r="E28" s="25"/>
      <c r="F28" s="23"/>
      <c r="G28" s="43"/>
      <c r="H28" s="48"/>
    </row>
    <row r="29" spans="1:8" x14ac:dyDescent="0.3">
      <c r="A29" s="42" t="str">
        <f>IF(PLANEJAMENTO!A29="","",PLANEJAMENTO!A29)</f>
        <v>BR62939-A</v>
      </c>
      <c r="B29" s="23" t="s">
        <v>530</v>
      </c>
      <c r="C29" s="25">
        <v>5500</v>
      </c>
      <c r="D29" s="23"/>
      <c r="E29" s="25"/>
      <c r="F29" s="23"/>
      <c r="G29" s="43"/>
      <c r="H29" s="48"/>
    </row>
    <row r="30" spans="1:8" x14ac:dyDescent="0.3">
      <c r="A30" s="42" t="str">
        <f>IF(PLANEJAMENTO!A30="","",PLANEJAMENTO!A30)</f>
        <v>BR67038-R</v>
      </c>
      <c r="B30" s="23"/>
      <c r="C30" s="25" t="s">
        <v>533</v>
      </c>
      <c r="D30" s="23"/>
      <c r="E30" s="25"/>
      <c r="F30" s="23"/>
      <c r="G30" s="43"/>
      <c r="H30" s="48"/>
    </row>
    <row r="31" spans="1:8" x14ac:dyDescent="0.3">
      <c r="A31" s="42" t="str">
        <f>IF(PLANEJAMENTO!A31="","",PLANEJAMENTO!A31)</f>
        <v>RSA CONGONHAS</v>
      </c>
      <c r="B31" s="23" t="s">
        <v>522</v>
      </c>
      <c r="C31" s="25" t="s">
        <v>533</v>
      </c>
      <c r="D31" s="23"/>
      <c r="E31" s="25"/>
      <c r="F31" s="23"/>
      <c r="G31" s="43"/>
      <c r="H31" s="48"/>
    </row>
    <row r="32" spans="1:8" x14ac:dyDescent="0.3">
      <c r="A32" s="42" t="str">
        <f>IF(PLANEJAMENTO!A32="","",PLANEJAMENTO!A32)</f>
        <v>PABLM017</v>
      </c>
      <c r="B32" s="23" t="s">
        <v>534</v>
      </c>
      <c r="C32" s="25">
        <v>5500</v>
      </c>
      <c r="D32" s="23"/>
      <c r="E32" s="25"/>
      <c r="F32" s="23"/>
      <c r="G32" s="43"/>
      <c r="H32" s="48"/>
    </row>
    <row r="33" spans="1:8" x14ac:dyDescent="0.3">
      <c r="A33" s="42" t="str">
        <f>IF(PLANEJAMENTO!A33="","",PLANEJAMENTO!A33)</f>
        <v>SPO094NP</v>
      </c>
      <c r="B33" s="23" t="s">
        <v>520</v>
      </c>
      <c r="C33" s="25">
        <v>22200</v>
      </c>
      <c r="D33" s="23"/>
      <c r="E33" s="25"/>
      <c r="F33" s="23"/>
      <c r="G33" s="43"/>
      <c r="H33" s="48"/>
    </row>
    <row r="34" spans="1:8" x14ac:dyDescent="0.3">
      <c r="A34" s="42" t="str">
        <f>IF(PLANEJAMENTO!A34="","",PLANEJAMENTO!A34)</f>
        <v>MTBRX001</v>
      </c>
      <c r="B34" s="23" t="s">
        <v>535</v>
      </c>
      <c r="C34" s="25">
        <v>14500</v>
      </c>
      <c r="D34" s="23"/>
      <c r="E34" s="25"/>
      <c r="F34" s="23"/>
      <c r="G34" s="43"/>
      <c r="H34" s="48"/>
    </row>
    <row r="35" spans="1:8" x14ac:dyDescent="0.3">
      <c r="A35" s="42" t="str">
        <f>IF(PLANEJAMENTO!A35="","",PLANEJAMENTO!A35)</f>
        <v>BR67360-A</v>
      </c>
      <c r="B35" s="23" t="s">
        <v>531</v>
      </c>
      <c r="C35" s="25">
        <v>9500</v>
      </c>
      <c r="D35" s="23"/>
      <c r="E35" s="25"/>
      <c r="F35" s="23"/>
      <c r="G35" s="43"/>
      <c r="H35" s="48"/>
    </row>
    <row r="36" spans="1:8" x14ac:dyDescent="0.3">
      <c r="A36" s="42" t="str">
        <f>IF(PLANEJAMENTO!A36="","",PLANEJAMENTO!A36)</f>
        <v>TABOCA</v>
      </c>
      <c r="B36" s="23" t="s">
        <v>522</v>
      </c>
      <c r="C36" s="25" t="s">
        <v>533</v>
      </c>
      <c r="D36" s="23"/>
      <c r="E36" s="25"/>
      <c r="F36" s="23"/>
      <c r="G36" s="43"/>
      <c r="H36" s="48"/>
    </row>
    <row r="37" spans="1:8" x14ac:dyDescent="0.3">
      <c r="A37" s="42" t="str">
        <f>IF(PLANEJAMENTO!A37="","",PLANEJAMENTO!A37)</f>
        <v>BR67041-A</v>
      </c>
      <c r="B37" s="23" t="s">
        <v>524</v>
      </c>
      <c r="C37" s="25">
        <v>9800</v>
      </c>
      <c r="D37" s="23"/>
      <c r="E37" s="25"/>
      <c r="F37" s="23"/>
      <c r="G37" s="43"/>
      <c r="H37" s="48"/>
    </row>
    <row r="38" spans="1:8" x14ac:dyDescent="0.3">
      <c r="A38" s="42" t="str">
        <f>IF(PLANEJAMENTO!A38="","",PLANEJAMENTO!A38)</f>
        <v>PABXX004</v>
      </c>
      <c r="B38" s="23" t="s">
        <v>536</v>
      </c>
      <c r="C38" s="25">
        <v>2800</v>
      </c>
      <c r="D38" s="23"/>
      <c r="E38" s="25"/>
      <c r="F38" s="23"/>
      <c r="G38" s="43"/>
      <c r="H38" s="48"/>
    </row>
    <row r="39" spans="1:8" x14ac:dyDescent="0.3">
      <c r="A39" s="42" t="str">
        <f>IF(PLANEJAMENTO!A39="","",PLANEJAMENTO!A39)</f>
        <v>ROGVR003</v>
      </c>
      <c r="B39" s="23" t="s">
        <v>517</v>
      </c>
      <c r="C39" s="25">
        <v>3000</v>
      </c>
      <c r="D39" s="23"/>
      <c r="E39" s="25"/>
      <c r="F39" s="23"/>
      <c r="G39" s="43"/>
      <c r="H39" s="48"/>
    </row>
    <row r="40" spans="1:8" x14ac:dyDescent="0.3">
      <c r="A40" s="42" t="str">
        <f>IF(PLANEJAMENTO!A40="","",PLANEJAMENTO!A40)</f>
        <v>BSA039T1</v>
      </c>
      <c r="B40" s="23" t="s">
        <v>537</v>
      </c>
      <c r="C40" s="25">
        <v>17500</v>
      </c>
      <c r="D40" s="23"/>
      <c r="E40" s="25"/>
      <c r="F40" s="23"/>
      <c r="G40" s="43"/>
      <c r="H40" s="48"/>
    </row>
    <row r="41" spans="1:8" x14ac:dyDescent="0.3">
      <c r="A41" s="42" t="str">
        <f>IF(PLANEJAMENTO!A41="","",PLANEJAMENTO!A41)</f>
        <v>BR88222-A</v>
      </c>
      <c r="B41" s="23" t="s">
        <v>538</v>
      </c>
      <c r="C41" s="25">
        <v>7000</v>
      </c>
      <c r="D41" s="23"/>
      <c r="E41" s="25"/>
      <c r="F41" s="23"/>
      <c r="G41" s="43"/>
      <c r="H41" s="48"/>
    </row>
    <row r="42" spans="1:8" x14ac:dyDescent="0.3">
      <c r="A42" s="42" t="str">
        <f>IF(PLANEJAMENTO!A42="","",PLANEJAMENTO!A42)</f>
        <v>TNSIMMU0001</v>
      </c>
      <c r="B42" s="23" t="s">
        <v>539</v>
      </c>
      <c r="C42" s="25">
        <v>16000</v>
      </c>
      <c r="D42" s="23"/>
      <c r="E42" s="25"/>
      <c r="F42" s="23"/>
      <c r="G42" s="43"/>
      <c r="H42" s="48"/>
    </row>
    <row r="43" spans="1:8" x14ac:dyDescent="0.3">
      <c r="A43" s="42" t="str">
        <f>IF(PLANEJAMENTO!A43="","",PLANEJAMENTO!A43)</f>
        <v>BR75987-A</v>
      </c>
      <c r="B43" s="23" t="s">
        <v>540</v>
      </c>
      <c r="C43" s="25">
        <v>9100</v>
      </c>
      <c r="D43" s="23"/>
      <c r="E43" s="25"/>
      <c r="F43" s="23"/>
      <c r="G43" s="43"/>
      <c r="H43" s="48"/>
    </row>
    <row r="44" spans="1:8" x14ac:dyDescent="0.3">
      <c r="A44" s="42" t="str">
        <f>IF(PLANEJAMENTO!A44="","",PLANEJAMENTO!A44)</f>
        <v>BR67096-R</v>
      </c>
      <c r="B44" s="23" t="s">
        <v>524</v>
      </c>
      <c r="C44" s="25">
        <v>4300</v>
      </c>
      <c r="D44" s="23"/>
      <c r="E44" s="25"/>
      <c r="F44" s="23"/>
      <c r="G44" s="43"/>
      <c r="H44" s="48"/>
    </row>
    <row r="45" spans="1:8" x14ac:dyDescent="0.3">
      <c r="A45" s="42" t="str">
        <f>IF(PLANEJAMENTO!A45="","",PLANEJAMENTO!A45)</f>
        <v>BR66977-R</v>
      </c>
      <c r="B45" s="23" t="s">
        <v>524</v>
      </c>
      <c r="C45" s="25">
        <v>1500</v>
      </c>
      <c r="D45" s="23"/>
      <c r="E45" s="25"/>
      <c r="F45" s="23"/>
      <c r="G45" s="43"/>
      <c r="H45" s="48"/>
    </row>
    <row r="46" spans="1:8" x14ac:dyDescent="0.3">
      <c r="A46" s="42" t="str">
        <f>IF(PLANEJAMENTO!A46="","",PLANEJAMENTO!A46)</f>
        <v>DFBSBBV010-K2</v>
      </c>
      <c r="B46" s="23" t="s">
        <v>524</v>
      </c>
      <c r="C46" s="25">
        <v>10000</v>
      </c>
      <c r="D46" s="23"/>
      <c r="E46" s="25"/>
      <c r="F46" s="23"/>
      <c r="G46" s="43"/>
      <c r="H46" s="48"/>
    </row>
    <row r="47" spans="1:8" x14ac:dyDescent="0.3">
      <c r="A47" s="42" t="str">
        <f>IF(PLANEJAMENTO!A47="","",PLANEJAMENTO!A47)</f>
        <v>BR73340-R</v>
      </c>
      <c r="B47" s="23" t="s">
        <v>520</v>
      </c>
      <c r="C47" s="25">
        <v>1400</v>
      </c>
      <c r="D47" s="23"/>
      <c r="E47" s="25"/>
      <c r="F47" s="23"/>
      <c r="G47" s="43"/>
      <c r="H47" s="48"/>
    </row>
    <row r="48" spans="1:8" x14ac:dyDescent="0.3">
      <c r="A48" s="42" t="str">
        <f>IF(PLANEJAMENTO!A48="","",PLANEJAMENTO!A48)</f>
        <v>BR72119-A</v>
      </c>
      <c r="B48" s="23" t="s">
        <v>541</v>
      </c>
      <c r="C48" s="25">
        <v>11750</v>
      </c>
      <c r="D48" s="23"/>
      <c r="E48" s="25"/>
      <c r="F48" s="23"/>
      <c r="G48" s="43"/>
      <c r="H48" s="48"/>
    </row>
    <row r="49" spans="1:8" x14ac:dyDescent="0.3">
      <c r="A49" s="44" t="str">
        <f>IF(PLANEJAMENTO!A49="","",PLANEJAMENTO!A49)</f>
        <v>BR63311-A</v>
      </c>
      <c r="B49" s="23" t="s">
        <v>521</v>
      </c>
      <c r="C49" s="25">
        <v>4300</v>
      </c>
      <c r="D49" s="23"/>
      <c r="E49" s="25"/>
      <c r="F49" s="23"/>
      <c r="G49" s="43"/>
      <c r="H49" s="48"/>
    </row>
    <row r="50" spans="1:8" x14ac:dyDescent="0.3">
      <c r="A50" s="42" t="str">
        <f>IF(PLANEJAMENTO!A50="","",PLANEJAMENTO!A50)</f>
        <v>BR87661-R</v>
      </c>
      <c r="B50" s="23" t="s">
        <v>519</v>
      </c>
      <c r="C50" s="25">
        <v>2900</v>
      </c>
      <c r="D50" s="23"/>
      <c r="E50" s="25"/>
      <c r="F50" s="23"/>
      <c r="G50" s="43"/>
      <c r="H50" s="48"/>
    </row>
    <row r="51" spans="1:8" x14ac:dyDescent="0.3">
      <c r="A51" s="42" t="str">
        <f>IF(PLANEJAMENTO!A51="","",PLANEJAMENTO!A51)</f>
        <v>BR56365-A</v>
      </c>
      <c r="B51" s="23" t="s">
        <v>520</v>
      </c>
      <c r="C51" s="26">
        <v>1800</v>
      </c>
      <c r="D51" s="23"/>
      <c r="E51" s="26"/>
      <c r="F51" s="23"/>
      <c r="G51" s="45"/>
      <c r="H51" s="48"/>
    </row>
    <row r="52" spans="1:8" x14ac:dyDescent="0.3">
      <c r="A52" s="42" t="str">
        <f>IF(PLANEJAMENTO!A52="","",PLANEJAMENTO!A52)</f>
        <v>BR88708-A</v>
      </c>
      <c r="B52" s="23" t="s">
        <v>536</v>
      </c>
      <c r="C52" s="26">
        <v>2300</v>
      </c>
      <c r="D52" s="23" t="s">
        <v>538</v>
      </c>
      <c r="E52" s="26">
        <v>12000</v>
      </c>
      <c r="F52" s="23"/>
      <c r="G52" s="45"/>
      <c r="H52" s="48"/>
    </row>
    <row r="53" spans="1:8" x14ac:dyDescent="0.3">
      <c r="A53" s="42" t="str">
        <f>IF(PLANEJAMENTO!A53="","",PLANEJAMENTO!A53)</f>
        <v>BSA045B1</v>
      </c>
      <c r="B53" s="23" t="s">
        <v>542</v>
      </c>
      <c r="C53" s="25">
        <v>2000</v>
      </c>
      <c r="D53" s="23"/>
      <c r="E53" s="25"/>
      <c r="F53" s="23"/>
      <c r="G53" s="43"/>
      <c r="H53" s="48"/>
    </row>
    <row r="54" spans="1:8" x14ac:dyDescent="0.3">
      <c r="A54" s="42" t="str">
        <f>IF(PLANEJAMENTO!A54="","",PLANEJAMENTO!A54)</f>
        <v>BR63121-A</v>
      </c>
      <c r="B54" s="23" t="s">
        <v>538</v>
      </c>
      <c r="C54" s="25">
        <v>13500</v>
      </c>
      <c r="D54" s="23"/>
      <c r="E54" s="25"/>
      <c r="F54" s="23"/>
      <c r="G54" s="43"/>
      <c r="H54" s="48"/>
    </row>
    <row r="55" spans="1:8" x14ac:dyDescent="0.3">
      <c r="A55" s="42">
        <f>IF(PLANEJAMENTO!A55="","",PLANEJAMENTO!A55)</f>
        <v>38010003</v>
      </c>
      <c r="B55" s="23" t="s">
        <v>520</v>
      </c>
      <c r="C55" s="25">
        <v>51000</v>
      </c>
      <c r="D55" s="23"/>
      <c r="E55" s="25"/>
      <c r="F55" s="23"/>
      <c r="G55" s="43"/>
      <c r="H55" s="48"/>
    </row>
    <row r="56" spans="1:8" x14ac:dyDescent="0.3">
      <c r="A56" s="42" t="str">
        <f>IF(PLANEJAMENTO!A56="","",PLANEJAMENTO!A56)</f>
        <v>TORRE RECORD</v>
      </c>
      <c r="B56" s="23" t="s">
        <v>520</v>
      </c>
      <c r="C56" s="25">
        <v>1900</v>
      </c>
      <c r="D56" s="23"/>
      <c r="E56" s="25"/>
      <c r="F56" s="23"/>
      <c r="G56" s="43"/>
      <c r="H56" s="48"/>
    </row>
    <row r="57" spans="1:8" x14ac:dyDescent="0.3">
      <c r="A57" s="42" t="str">
        <f>IF(PLANEJAMENTO!A57="","",PLANEJAMENTO!A57)</f>
        <v>MABCY001</v>
      </c>
      <c r="B57" s="23" t="s">
        <v>543</v>
      </c>
      <c r="C57" s="25">
        <v>3000</v>
      </c>
      <c r="D57" s="23" t="s">
        <v>544</v>
      </c>
      <c r="E57" s="25">
        <v>2200</v>
      </c>
      <c r="F57" s="23" t="s">
        <v>545</v>
      </c>
      <c r="G57" s="43">
        <v>60</v>
      </c>
      <c r="H57" s="48"/>
    </row>
    <row r="58" spans="1:8" x14ac:dyDescent="0.3">
      <c r="A58" s="42" t="str">
        <f>IF(PLANEJAMENTO!A58="","",PLANEJAMENTO!A58)</f>
        <v>PARMX006</v>
      </c>
      <c r="B58" s="23" t="s">
        <v>536</v>
      </c>
      <c r="C58" s="25">
        <v>3800</v>
      </c>
      <c r="D58" s="23" t="s">
        <v>544</v>
      </c>
      <c r="E58" s="25">
        <v>2200</v>
      </c>
      <c r="F58" s="23" t="s">
        <v>545</v>
      </c>
      <c r="G58" s="43">
        <v>60</v>
      </c>
      <c r="H58" s="48"/>
    </row>
    <row r="59" spans="1:8" x14ac:dyDescent="0.3">
      <c r="A59" s="42" t="str">
        <f>IF(PLANEJAMENTO!A59="","",PLANEJAMENTO!A59)</f>
        <v>MAVNX001</v>
      </c>
      <c r="B59" s="23" t="s">
        <v>546</v>
      </c>
      <c r="C59" s="25">
        <v>3500</v>
      </c>
      <c r="D59" s="23" t="s">
        <v>544</v>
      </c>
      <c r="E59" s="25">
        <v>2200</v>
      </c>
      <c r="F59" s="23" t="s">
        <v>545</v>
      </c>
      <c r="G59" s="43">
        <v>60</v>
      </c>
      <c r="H59" s="48"/>
    </row>
    <row r="60" spans="1:8" x14ac:dyDescent="0.3">
      <c r="A60" s="42" t="str">
        <f>IF(PLANEJAMENTO!A60="","",PLANEJAMENTO!A60)</f>
        <v>TNSMOSA002</v>
      </c>
      <c r="B60" s="23" t="s">
        <v>520</v>
      </c>
      <c r="C60" s="25">
        <v>24500</v>
      </c>
      <c r="D60" s="23"/>
      <c r="E60" s="25"/>
      <c r="F60" s="23"/>
      <c r="G60" s="43"/>
      <c r="H60" s="48"/>
    </row>
    <row r="61" spans="1:8" x14ac:dyDescent="0.3">
      <c r="A61" s="42">
        <f>IF(PLANEJAMENTO!A61="","",PLANEJAMENTO!A61)</f>
        <v>65010027</v>
      </c>
      <c r="B61" s="23" t="s">
        <v>535</v>
      </c>
      <c r="C61" s="25">
        <v>3000</v>
      </c>
      <c r="D61" s="23"/>
      <c r="E61" s="25"/>
      <c r="F61" s="23"/>
      <c r="G61" s="43"/>
      <c r="H61" s="48"/>
    </row>
    <row r="62" spans="1:8" x14ac:dyDescent="0.3">
      <c r="A62" s="42" t="str">
        <f>IF(PLANEJAMENTO!A62="","",PLANEJAMENTO!A62)</f>
        <v>BR88606-A</v>
      </c>
      <c r="B62" s="23" t="s">
        <v>538</v>
      </c>
      <c r="C62" s="25">
        <v>12000</v>
      </c>
      <c r="D62" s="23"/>
      <c r="E62" s="25"/>
      <c r="F62" s="23"/>
      <c r="G62" s="43"/>
      <c r="H62" s="48"/>
    </row>
    <row r="63" spans="1:8" x14ac:dyDescent="0.3">
      <c r="A63" s="42" t="str">
        <f>IF(PLANEJAMENTO!A63="","",PLANEJAMENTO!A63)</f>
        <v>BR87717-A</v>
      </c>
      <c r="B63" s="23" t="s">
        <v>519</v>
      </c>
      <c r="C63" s="25">
        <v>2000</v>
      </c>
      <c r="D63" s="23"/>
      <c r="E63" s="25"/>
      <c r="F63" s="23"/>
      <c r="G63" s="43"/>
      <c r="H63" s="48"/>
    </row>
    <row r="64" spans="1:8" x14ac:dyDescent="0.3">
      <c r="A64" s="42" t="str">
        <f>IF(PLANEJAMENTO!A64="","",PLANEJAMENTO!A64)</f>
        <v>BR54982-A</v>
      </c>
      <c r="B64" s="23" t="s">
        <v>520</v>
      </c>
      <c r="C64" s="25">
        <v>2200</v>
      </c>
      <c r="D64" s="23"/>
      <c r="E64" s="25"/>
      <c r="F64" s="23"/>
      <c r="G64" s="43"/>
      <c r="H64" s="48"/>
    </row>
    <row r="65" spans="1:8" x14ac:dyDescent="0.3">
      <c r="A65" s="42" t="str">
        <f>IF(PLANEJAMENTO!A65="","",PLANEJAMENTO!A65)</f>
        <v>BR80534-A</v>
      </c>
      <c r="B65" s="23" t="s">
        <v>536</v>
      </c>
      <c r="C65" s="25">
        <v>2800</v>
      </c>
      <c r="D65" s="23"/>
      <c r="E65" s="25"/>
      <c r="F65" s="23"/>
      <c r="G65" s="43"/>
      <c r="H65" s="48"/>
    </row>
    <row r="66" spans="1:8" x14ac:dyDescent="0.3">
      <c r="A66" s="42" t="str">
        <f>IF(PLANEJAMENTO!A66="","",PLANEJAMENTO!A66)</f>
        <v>BR87627-A</v>
      </c>
      <c r="B66" s="23" t="s">
        <v>547</v>
      </c>
      <c r="C66" s="25">
        <v>1800</v>
      </c>
      <c r="D66" s="23"/>
      <c r="E66" s="25"/>
      <c r="F66" s="23"/>
      <c r="G66" s="43"/>
      <c r="H66" s="48"/>
    </row>
    <row r="67" spans="1:8" x14ac:dyDescent="0.3">
      <c r="A67" s="42" t="str">
        <f>IF(PLANEJAMENTO!A67="","",PLANEJAMENTO!A67)</f>
        <v>SM7 TANKS BR</v>
      </c>
      <c r="B67" s="23" t="s">
        <v>522</v>
      </c>
      <c r="C67" s="25" t="s">
        <v>533</v>
      </c>
      <c r="D67" s="23"/>
      <c r="E67" s="25"/>
      <c r="F67" s="23"/>
      <c r="G67" s="43"/>
      <c r="H67" s="48"/>
    </row>
    <row r="68" spans="1:8" x14ac:dyDescent="0.3">
      <c r="A68" s="42" t="str">
        <f>IF(PLANEJAMENTO!A68="","",PLANEJAMENTO!A68)</f>
        <v>RSP-SLE-007</v>
      </c>
      <c r="B68" s="23" t="s">
        <v>530</v>
      </c>
      <c r="C68" s="25">
        <v>20000</v>
      </c>
      <c r="D68" s="23"/>
      <c r="E68" s="25"/>
      <c r="F68" s="23"/>
      <c r="G68" s="43"/>
      <c r="H68" s="48"/>
    </row>
    <row r="69" spans="1:8" x14ac:dyDescent="0.3">
      <c r="A69" s="42" t="str">
        <f>IF(PLANEJAMENTO!A69="","",PLANEJAMENTO!A69)</f>
        <v>SP4-BRU-001</v>
      </c>
      <c r="B69" s="23" t="s">
        <v>520</v>
      </c>
      <c r="C69" s="25">
        <v>20000</v>
      </c>
      <c r="D69" s="23"/>
      <c r="E69" s="25"/>
      <c r="F69" s="23"/>
      <c r="G69" s="43"/>
      <c r="H69" s="48"/>
    </row>
    <row r="70" spans="1:8" x14ac:dyDescent="0.3">
      <c r="A70" s="42" t="str">
        <f>IF(PLANEJAMENTO!A70="","",PLANEJAMENTO!A70)</f>
        <v>SPP-NOA-011</v>
      </c>
      <c r="B70" s="23" t="s">
        <v>520</v>
      </c>
      <c r="C70" s="25">
        <v>22000</v>
      </c>
      <c r="D70" s="23"/>
      <c r="E70" s="25"/>
      <c r="F70" s="23"/>
      <c r="G70" s="43"/>
      <c r="H70" s="48"/>
    </row>
    <row r="71" spans="1:8" x14ac:dyDescent="0.3">
      <c r="A71" s="42" t="str">
        <f>IF(PLANEJAMENTO!A71="","",PLANEJAMENTO!A71)</f>
        <v>MAJNP001</v>
      </c>
      <c r="B71" s="23" t="s">
        <v>548</v>
      </c>
      <c r="C71" s="25">
        <v>21000</v>
      </c>
      <c r="D71" s="23"/>
      <c r="E71" s="25"/>
      <c r="F71" s="23"/>
      <c r="G71" s="43"/>
      <c r="H71" s="48"/>
    </row>
    <row r="72" spans="1:8" x14ac:dyDescent="0.3">
      <c r="A72" s="42" t="str">
        <f>IF(PLANEJAMENTO!A72="","",PLANEJAMENTO!A72)</f>
        <v>MABMX002</v>
      </c>
      <c r="B72" s="23" t="s">
        <v>546</v>
      </c>
      <c r="C72" s="25">
        <v>3200</v>
      </c>
      <c r="D72" s="23" t="s">
        <v>544</v>
      </c>
      <c r="E72" s="25">
        <v>2400</v>
      </c>
      <c r="F72" s="23" t="s">
        <v>545</v>
      </c>
      <c r="G72" s="43">
        <v>60</v>
      </c>
      <c r="H72" s="48"/>
    </row>
    <row r="73" spans="1:8" x14ac:dyDescent="0.3">
      <c r="A73" s="42" t="str">
        <f>IF(PLANEJAMENTO!A73="","",PLANEJAMENTO!A73)</f>
        <v>BR72493-A</v>
      </c>
      <c r="B73" s="23" t="s">
        <v>549</v>
      </c>
      <c r="C73" s="25">
        <v>5000</v>
      </c>
      <c r="D73" s="23"/>
      <c r="E73" s="25"/>
      <c r="F73" s="23"/>
      <c r="G73" s="43"/>
      <c r="H73" s="48"/>
    </row>
    <row r="74" spans="1:8" x14ac:dyDescent="0.3">
      <c r="A74" s="42" t="str">
        <f>IF(PLANEJAMENTO!A74="","",PLANEJAMENTO!A74)</f>
        <v>MACDX002</v>
      </c>
      <c r="B74" s="23" t="s">
        <v>550</v>
      </c>
      <c r="C74" s="25">
        <v>13000</v>
      </c>
      <c r="D74" s="23"/>
      <c r="E74" s="25"/>
      <c r="F74" s="23"/>
      <c r="G74" s="43"/>
      <c r="H74" s="48"/>
    </row>
    <row r="75" spans="1:8" x14ac:dyDescent="0.3">
      <c r="A75" s="42" t="str">
        <f>IF(PLANEJAMENTO!A75="","",PLANEJAMENTO!A75)</f>
        <v>GONVG001</v>
      </c>
      <c r="B75" s="23" t="s">
        <v>551</v>
      </c>
      <c r="C75" s="25">
        <v>1700</v>
      </c>
      <c r="D75" s="23" t="s">
        <v>552</v>
      </c>
      <c r="E75" s="25">
        <v>5600</v>
      </c>
      <c r="F75" s="23"/>
      <c r="G75" s="43"/>
      <c r="H75" s="48"/>
    </row>
    <row r="76" spans="1:8" x14ac:dyDescent="0.3">
      <c r="A76" s="42" t="str">
        <f>IF(PLANEJAMENTO!A76="","",PLANEJAMENTO!A76)</f>
        <v>BR88239-A</v>
      </c>
      <c r="B76" s="23" t="s">
        <v>546</v>
      </c>
      <c r="C76" s="25">
        <v>2000</v>
      </c>
      <c r="D76" s="23" t="s">
        <v>553</v>
      </c>
      <c r="E76" s="25">
        <v>1800</v>
      </c>
      <c r="F76" s="23"/>
      <c r="G76" s="43"/>
      <c r="H76" s="48"/>
    </row>
    <row r="77" spans="1:8" x14ac:dyDescent="0.3">
      <c r="A77" s="42">
        <f>IF(PLANEJAMENTO!A77="","",PLANEJAMENTO!A77)</f>
        <v>63060028</v>
      </c>
      <c r="B77" s="23" t="s">
        <v>554</v>
      </c>
      <c r="C77" s="25">
        <v>6500</v>
      </c>
      <c r="D77" s="23"/>
      <c r="E77" s="25"/>
      <c r="F77" s="23"/>
      <c r="G77" s="43"/>
      <c r="H77" s="48"/>
    </row>
    <row r="78" spans="1:8" x14ac:dyDescent="0.3">
      <c r="A78" s="42">
        <f>IF(PLANEJAMENTO!A78="","",PLANEJAMENTO!A78)</f>
        <v>82080010</v>
      </c>
      <c r="B78" s="23" t="s">
        <v>525</v>
      </c>
      <c r="C78" s="25">
        <v>19600</v>
      </c>
      <c r="D78" s="23"/>
      <c r="E78" s="25"/>
      <c r="F78" s="23"/>
      <c r="G78" s="43"/>
      <c r="H78" s="48"/>
    </row>
    <row r="79" spans="1:8" x14ac:dyDescent="0.3">
      <c r="A79" s="42" t="str">
        <f>IF(PLANEJAMENTO!A79="","",PLANEJAMENTO!A79)</f>
        <v>CONDOMINIO GENOVA</v>
      </c>
      <c r="B79" s="23" t="s">
        <v>555</v>
      </c>
      <c r="C79" s="25">
        <v>400</v>
      </c>
      <c r="D79" s="23" t="s">
        <v>556</v>
      </c>
      <c r="E79" s="25">
        <v>2200</v>
      </c>
      <c r="F79" s="23"/>
      <c r="G79" s="43"/>
      <c r="H79" s="48"/>
    </row>
    <row r="80" spans="1:8" x14ac:dyDescent="0.3">
      <c r="A80" s="42" t="str">
        <f>IF(PLANEJAMENTO!A80="","",PLANEJAMENTO!A80)</f>
        <v>DFBRS174</v>
      </c>
      <c r="B80" s="23" t="s">
        <v>557</v>
      </c>
      <c r="C80" s="25">
        <v>15000</v>
      </c>
      <c r="D80" s="23"/>
      <c r="E80" s="25"/>
      <c r="F80" s="23"/>
      <c r="G80" s="43"/>
      <c r="H80" s="48"/>
    </row>
    <row r="81" spans="1:8" x14ac:dyDescent="0.3">
      <c r="A81" s="42" t="str">
        <f>IF(PLANEJAMENTO!A81="","",PLANEJAMENTO!A81)</f>
        <v>MSPRT002</v>
      </c>
      <c r="B81" s="23" t="s">
        <v>517</v>
      </c>
      <c r="C81" s="25">
        <v>3000</v>
      </c>
      <c r="D81" s="23" t="s">
        <v>544</v>
      </c>
      <c r="E81" s="25">
        <v>2400</v>
      </c>
      <c r="F81" s="23" t="s">
        <v>558</v>
      </c>
      <c r="G81" s="43">
        <v>60</v>
      </c>
      <c r="H81" s="48"/>
    </row>
    <row r="82" spans="1:8" x14ac:dyDescent="0.3">
      <c r="A82" s="42" t="str">
        <f>IF(PLANEJAMENTO!A82="","",PLANEJAMENTO!A82)</f>
        <v>PAVGX002</v>
      </c>
      <c r="B82" s="23" t="s">
        <v>536</v>
      </c>
      <c r="C82" s="25">
        <v>2900</v>
      </c>
      <c r="D82" s="23" t="s">
        <v>544</v>
      </c>
      <c r="E82" s="25">
        <v>2400</v>
      </c>
      <c r="F82" s="23" t="s">
        <v>558</v>
      </c>
      <c r="G82" s="43">
        <v>60</v>
      </c>
      <c r="H82" s="48"/>
    </row>
    <row r="83" spans="1:8" x14ac:dyDescent="0.3">
      <c r="A83" s="42" t="str">
        <f>IF(PLANEJAMENTO!A83="","",PLANEJAMENTO!A83)</f>
        <v>MTCST002</v>
      </c>
      <c r="B83" s="23" t="s">
        <v>517</v>
      </c>
      <c r="C83" s="25">
        <v>4000</v>
      </c>
      <c r="D83" s="23" t="s">
        <v>544</v>
      </c>
      <c r="E83" s="25">
        <v>2400</v>
      </c>
      <c r="F83" s="23" t="s">
        <v>558</v>
      </c>
      <c r="G83" s="43">
        <v>60</v>
      </c>
      <c r="H83" s="48"/>
    </row>
    <row r="84" spans="1:8" x14ac:dyDescent="0.3">
      <c r="A84" s="42" t="str">
        <f>IF(PLANEJAMENTO!A84="","",PLANEJAMENTO!A84)</f>
        <v>BR77226-A</v>
      </c>
      <c r="B84" s="23" t="s">
        <v>519</v>
      </c>
      <c r="C84" s="25">
        <v>11000</v>
      </c>
      <c r="D84" s="23"/>
      <c r="E84" s="25"/>
      <c r="F84" s="23"/>
      <c r="G84" s="43"/>
      <c r="H84" s="48"/>
    </row>
    <row r="85" spans="1:8" x14ac:dyDescent="0.3">
      <c r="A85" s="42" t="str">
        <f>IF(PLANEJAMENTO!A85="","",PLANEJAMENTO!A85)</f>
        <v>BR65897-A</v>
      </c>
      <c r="B85" s="23" t="s">
        <v>559</v>
      </c>
      <c r="C85" s="25">
        <v>2000</v>
      </c>
      <c r="D85" s="23" t="s">
        <v>560</v>
      </c>
      <c r="E85" s="25">
        <v>2000</v>
      </c>
      <c r="F85" s="23"/>
      <c r="G85" s="43"/>
      <c r="H85" s="48"/>
    </row>
    <row r="86" spans="1:8" x14ac:dyDescent="0.3">
      <c r="A86" s="42" t="str">
        <f>IF(PLANEJAMENTO!A86="","",PLANEJAMENTO!A86)</f>
        <v>BR73373-R</v>
      </c>
      <c r="B86" s="23" t="s">
        <v>561</v>
      </c>
      <c r="C86" s="25">
        <v>2000</v>
      </c>
      <c r="D86" s="23"/>
      <c r="E86" s="25"/>
      <c r="F86" s="23"/>
      <c r="G86" s="43"/>
      <c r="H86" s="48"/>
    </row>
    <row r="87" spans="1:8" x14ac:dyDescent="0.3">
      <c r="A87" s="42" t="str">
        <f>IF(PLANEJAMENTO!A87="","",PLANEJAMENTO!A87)</f>
        <v>BR50560-A</v>
      </c>
      <c r="B87" s="23" t="s">
        <v>517</v>
      </c>
      <c r="C87" s="25">
        <v>7000</v>
      </c>
      <c r="D87" s="23"/>
      <c r="E87" s="25"/>
      <c r="F87" s="23"/>
      <c r="G87" s="43"/>
      <c r="H87" s="48"/>
    </row>
    <row r="88" spans="1:8" x14ac:dyDescent="0.3">
      <c r="A88" s="42" t="str">
        <f>IF(PLANEJAMENTO!A88="","",PLANEJAMENTO!A88)</f>
        <v>SSS6</v>
      </c>
      <c r="B88" s="23" t="s">
        <v>522</v>
      </c>
      <c r="C88" s="25" t="s">
        <v>533</v>
      </c>
      <c r="D88" s="23"/>
      <c r="E88" s="25"/>
      <c r="F88" s="23"/>
      <c r="G88" s="43"/>
      <c r="H88" s="48"/>
    </row>
    <row r="89" spans="1:8" x14ac:dyDescent="0.3">
      <c r="A89" s="42" t="str">
        <f>IF(PLANEJAMENTO!A89="","",PLANEJAMENTO!A89)</f>
        <v>SS25</v>
      </c>
      <c r="B89" s="23" t="s">
        <v>522</v>
      </c>
      <c r="C89" s="25" t="s">
        <v>533</v>
      </c>
      <c r="D89" s="23"/>
      <c r="E89" s="25"/>
      <c r="F89" s="23"/>
      <c r="G89" s="43"/>
      <c r="H89" s="48"/>
    </row>
    <row r="90" spans="1:8" x14ac:dyDescent="0.3">
      <c r="A90" s="42" t="str">
        <f>IF(PLANEJAMENTO!A90="","",PLANEJAMENTO!A90)</f>
        <v>SS26</v>
      </c>
      <c r="B90" s="23" t="s">
        <v>522</v>
      </c>
      <c r="C90" s="25" t="s">
        <v>533</v>
      </c>
      <c r="D90" s="23"/>
      <c r="E90" s="25"/>
      <c r="F90" s="23"/>
      <c r="G90" s="43"/>
      <c r="H90" s="48"/>
    </row>
    <row r="91" spans="1:8" x14ac:dyDescent="0.3">
      <c r="A91" s="42" t="str">
        <f>IF(PLANEJAMENTO!A91="","",PLANEJAMENTO!A91)</f>
        <v>ST26</v>
      </c>
      <c r="B91" s="23" t="s">
        <v>522</v>
      </c>
      <c r="C91" s="25" t="s">
        <v>533</v>
      </c>
      <c r="D91" s="23"/>
      <c r="E91" s="25"/>
      <c r="F91" s="23"/>
      <c r="G91" s="43"/>
      <c r="H91" s="48"/>
    </row>
    <row r="92" spans="1:8" x14ac:dyDescent="0.3">
      <c r="A92" s="42" t="str">
        <f>IF(PLANEJAMENTO!A92="","",PLANEJAMENTO!A92)</f>
        <v>GTB40</v>
      </c>
      <c r="B92" s="23" t="s">
        <v>522</v>
      </c>
      <c r="C92" s="25" t="s">
        <v>533</v>
      </c>
      <c r="D92" s="23"/>
      <c r="E92" s="25"/>
      <c r="F92" s="23"/>
      <c r="G92" s="43"/>
      <c r="H92" s="48"/>
    </row>
    <row r="93" spans="1:8" x14ac:dyDescent="0.3">
      <c r="A93" s="42" t="str">
        <f>IF(PLANEJAMENTO!A93="","",PLANEJAMENTO!A93)</f>
        <v>GTB64</v>
      </c>
      <c r="B93" s="23" t="s">
        <v>522</v>
      </c>
      <c r="C93" s="25" t="s">
        <v>533</v>
      </c>
      <c r="D93" s="23"/>
      <c r="E93" s="25"/>
      <c r="F93" s="23"/>
      <c r="G93" s="43"/>
      <c r="H93" s="48"/>
    </row>
    <row r="94" spans="1:8" x14ac:dyDescent="0.3">
      <c r="A94" s="42" t="str">
        <f>IF(PLANEJAMENTO!A94="","",PLANEJAMENTO!A94)</f>
        <v>CPE003TM</v>
      </c>
      <c r="B94" s="23" t="s">
        <v>562</v>
      </c>
      <c r="C94" s="25">
        <v>3000</v>
      </c>
      <c r="D94" s="23"/>
      <c r="E94" s="25"/>
      <c r="F94" s="23"/>
      <c r="G94" s="43"/>
      <c r="H94" s="48"/>
    </row>
    <row r="95" spans="1:8" x14ac:dyDescent="0.3">
      <c r="A95" s="42" t="str">
        <f>IF(PLANEJAMENTO!A95="","",PLANEJAMENTO!A95)</f>
        <v>CBA013TM</v>
      </c>
      <c r="B95" s="23" t="s">
        <v>535</v>
      </c>
      <c r="C95" s="25">
        <v>3500</v>
      </c>
      <c r="D95" s="23"/>
      <c r="E95" s="25"/>
      <c r="F95" s="23"/>
      <c r="G95" s="43"/>
      <c r="H95" s="48"/>
    </row>
    <row r="96" spans="1:8" x14ac:dyDescent="0.3">
      <c r="A96" s="42" t="str">
        <f>IF(PLANEJAMENTO!A96="","",PLANEJAMENTO!A96)</f>
        <v>MZE001TM</v>
      </c>
      <c r="B96" s="23" t="s">
        <v>520</v>
      </c>
      <c r="C96" s="25">
        <v>12200</v>
      </c>
      <c r="D96" s="23"/>
      <c r="E96" s="25"/>
      <c r="F96" s="23"/>
      <c r="G96" s="43"/>
      <c r="H96" s="48"/>
    </row>
    <row r="97" spans="1:8" x14ac:dyDescent="0.3">
      <c r="A97" s="42" t="str">
        <f>IF(PLANEJAMENTO!A97="","",PLANEJAMENTO!A97)</f>
        <v>SMT002VV</v>
      </c>
      <c r="B97" s="23" t="s">
        <v>563</v>
      </c>
      <c r="C97" s="25">
        <v>2100</v>
      </c>
      <c r="D97" s="23"/>
      <c r="E97" s="25"/>
      <c r="F97" s="23"/>
      <c r="G97" s="43"/>
      <c r="H97" s="48"/>
    </row>
    <row r="98" spans="1:8" x14ac:dyDescent="0.3">
      <c r="A98" s="42" t="str">
        <f>IF(PLANEJAMENTO!A98="","",PLANEJAMENTO!A98)</f>
        <v>RJO242B1</v>
      </c>
      <c r="B98" s="23" t="s">
        <v>564</v>
      </c>
      <c r="C98" s="25">
        <v>22878.3</v>
      </c>
      <c r="D98" s="23"/>
      <c r="E98" s="25"/>
      <c r="F98" s="23"/>
      <c r="G98" s="43"/>
      <c r="H98" s="48"/>
    </row>
    <row r="99" spans="1:8" x14ac:dyDescent="0.3">
      <c r="A99" s="42" t="str">
        <f>IF(PLANEJAMENTO!A99="","",PLANEJAMENTO!A99)</f>
        <v>CND001B1</v>
      </c>
      <c r="B99" s="23" t="s">
        <v>549</v>
      </c>
      <c r="C99" s="25">
        <v>11500</v>
      </c>
      <c r="D99" s="23"/>
      <c r="E99" s="25"/>
      <c r="F99" s="23"/>
      <c r="G99" s="43"/>
      <c r="H99" s="48"/>
    </row>
    <row r="100" spans="1:8" x14ac:dyDescent="0.3">
      <c r="A100" s="42" t="str">
        <f>IF(PLANEJAMENTO!A100="","",PLANEJAMENTO!A100)</f>
        <v>RJO058NP</v>
      </c>
      <c r="B100" s="23" t="s">
        <v>565</v>
      </c>
      <c r="C100" s="25">
        <v>14600</v>
      </c>
      <c r="D100" s="23"/>
      <c r="E100" s="25"/>
      <c r="F100" s="23"/>
      <c r="G100" s="43"/>
      <c r="H100" s="48"/>
    </row>
    <row r="101" spans="1:8" x14ac:dyDescent="0.3">
      <c r="A101" s="42" t="str">
        <f>IF(PLANEJAMENTO!A101="","",PLANEJAMENTO!A101)</f>
        <v>BR80471-A</v>
      </c>
      <c r="B101" s="23" t="s">
        <v>565</v>
      </c>
      <c r="C101" s="25">
        <v>9500</v>
      </c>
      <c r="D101" s="23"/>
      <c r="E101" s="25"/>
      <c r="F101" s="23"/>
      <c r="G101" s="43"/>
      <c r="H101" s="48"/>
    </row>
    <row r="102" spans="1:8" x14ac:dyDescent="0.3">
      <c r="A102" s="42" t="str">
        <f>IF(PLANEJAMENTO!A102="","",PLANEJAMENTO!A102)</f>
        <v>BR88454-A</v>
      </c>
      <c r="B102" s="23" t="s">
        <v>554</v>
      </c>
      <c r="C102" s="25">
        <v>5600</v>
      </c>
      <c r="D102" s="23" t="s">
        <v>566</v>
      </c>
      <c r="E102" s="25">
        <v>400</v>
      </c>
      <c r="F102" s="23"/>
      <c r="G102" s="43"/>
      <c r="H102" s="48"/>
    </row>
    <row r="103" spans="1:8" x14ac:dyDescent="0.3">
      <c r="A103" s="42" t="str">
        <f>IF(PLANEJAMENTO!A103="","",PLANEJAMENTO!A103)</f>
        <v xml:space="preserve">BSA030TM </v>
      </c>
      <c r="B103" s="23" t="s">
        <v>542</v>
      </c>
      <c r="C103" s="25">
        <v>400</v>
      </c>
      <c r="D103" s="23"/>
      <c r="E103" s="25"/>
      <c r="F103" s="23"/>
      <c r="G103" s="43"/>
      <c r="H103" s="48"/>
    </row>
    <row r="104" spans="1:8" x14ac:dyDescent="0.3">
      <c r="A104" s="42" t="str">
        <f>IF(PLANEJAMENTO!A104="","",PLANEJAMENTO!A104)</f>
        <v>PPO001TM</v>
      </c>
      <c r="B104" s="23" t="s">
        <v>526</v>
      </c>
      <c r="C104" s="25">
        <v>800</v>
      </c>
      <c r="D104" s="23"/>
      <c r="E104" s="25"/>
      <c r="F104" s="23"/>
      <c r="G104" s="43"/>
      <c r="H104" s="48"/>
    </row>
    <row r="105" spans="1:8" x14ac:dyDescent="0.3">
      <c r="A105" s="42" t="str">
        <f>IF(PLANEJAMENTO!A105="","",PLANEJAMENTO!A105)</f>
        <v>SBB002VV</v>
      </c>
      <c r="B105" s="23" t="s">
        <v>526</v>
      </c>
      <c r="C105" s="25">
        <v>300</v>
      </c>
      <c r="D105" s="23"/>
      <c r="E105" s="25"/>
      <c r="F105" s="23"/>
      <c r="G105" s="43"/>
      <c r="H105" s="48"/>
    </row>
    <row r="106" spans="1:8" x14ac:dyDescent="0.3">
      <c r="A106" s="42" t="str">
        <f>IF(PLANEJAMENTO!A106="","",PLANEJAMENTO!A106)</f>
        <v>GNA064TM</v>
      </c>
      <c r="B106" s="23" t="s">
        <v>567</v>
      </c>
      <c r="C106" s="25">
        <v>250</v>
      </c>
      <c r="D106" s="23"/>
      <c r="E106" s="25"/>
      <c r="F106" s="23"/>
      <c r="G106" s="43"/>
      <c r="H106" s="48"/>
    </row>
    <row r="107" spans="1:8" x14ac:dyDescent="0.3">
      <c r="A107" s="42" t="str">
        <f>IF(PLANEJAMENTO!A107="","",PLANEJAMENTO!A107)</f>
        <v>MSCMX003</v>
      </c>
      <c r="B107" s="23" t="s">
        <v>522</v>
      </c>
      <c r="C107" s="25" t="s">
        <v>533</v>
      </c>
      <c r="D107" s="23"/>
      <c r="E107" s="25"/>
      <c r="F107" s="23"/>
      <c r="G107" s="43"/>
      <c r="H107" s="48"/>
    </row>
    <row r="108" spans="1:8" x14ac:dyDescent="0.3">
      <c r="A108" s="42" t="str">
        <f>IF(PLANEJAMENTO!A108="","",PLANEJAMENTO!A108)</f>
        <v>SQR002VV</v>
      </c>
      <c r="B108" s="23" t="s">
        <v>568</v>
      </c>
      <c r="C108" s="25">
        <v>19200</v>
      </c>
      <c r="D108" s="23"/>
      <c r="E108" s="25"/>
      <c r="F108" s="23"/>
      <c r="G108" s="43"/>
      <c r="H108" s="48"/>
    </row>
    <row r="109" spans="1:8" x14ac:dyDescent="0.3">
      <c r="A109" s="42" t="str">
        <f>IF(PLANEJAMENTO!A109="","",PLANEJAMENTO!A109)</f>
        <v>BSA067TM</v>
      </c>
      <c r="B109" s="23" t="s">
        <v>569</v>
      </c>
      <c r="C109" s="25">
        <v>7800</v>
      </c>
      <c r="D109" s="23"/>
      <c r="E109" s="25"/>
      <c r="F109" s="23"/>
      <c r="G109" s="43"/>
      <c r="H109" s="48"/>
    </row>
    <row r="110" spans="1:8" x14ac:dyDescent="0.3">
      <c r="A110" s="42" t="str">
        <f>IF(PLANEJAMENTO!A110="","",PLANEJAMENTO!A110)</f>
        <v>CFR001VV</v>
      </c>
      <c r="B110" s="23"/>
      <c r="C110" s="25"/>
      <c r="D110" s="23"/>
      <c r="E110" s="25"/>
      <c r="F110" s="23"/>
      <c r="G110" s="43"/>
      <c r="H110" s="48"/>
    </row>
    <row r="111" spans="1:8" x14ac:dyDescent="0.3">
      <c r="A111" s="42" t="str">
        <f>IF(PLANEJAMENTO!A111="","",PLANEJAMENTO!A111)</f>
        <v>CBF003B1</v>
      </c>
      <c r="B111" s="23" t="s">
        <v>570</v>
      </c>
      <c r="C111" s="25">
        <v>11500</v>
      </c>
      <c r="D111" s="23"/>
      <c r="E111" s="25"/>
      <c r="F111" s="23"/>
      <c r="G111" s="43"/>
      <c r="H111" s="48"/>
    </row>
    <row r="112" spans="1:8" x14ac:dyDescent="0.3">
      <c r="A112" s="42" t="str">
        <f>IF(PLANEJAMENTO!A112="","",PLANEJAMENTO!A112)</f>
        <v>CBF004B1</v>
      </c>
      <c r="B112" s="23"/>
      <c r="C112" s="25"/>
      <c r="D112" s="23"/>
      <c r="E112" s="25"/>
      <c r="F112" s="23"/>
      <c r="G112" s="43"/>
      <c r="H112" s="48"/>
    </row>
    <row r="113" spans="1:8" x14ac:dyDescent="0.3">
      <c r="A113" s="42" t="str">
        <f>IF(PLANEJAMENTO!A113="","",PLANEJAMENTO!A113)</f>
        <v>VVL004NX</v>
      </c>
      <c r="B113" s="23"/>
      <c r="C113" s="25"/>
      <c r="D113" s="23"/>
      <c r="E113" s="25"/>
      <c r="F113" s="23"/>
      <c r="G113" s="43"/>
      <c r="H113" s="48"/>
    </row>
    <row r="114" spans="1:8" x14ac:dyDescent="0.3">
      <c r="A114" s="42" t="str">
        <f>IF(PLANEJAMENTO!A114="","",PLANEJAMENTO!A114)</f>
        <v>MZF001B2</v>
      </c>
      <c r="B114" s="23" t="s">
        <v>563</v>
      </c>
      <c r="C114" s="25">
        <v>3000</v>
      </c>
      <c r="D114" s="23"/>
      <c r="E114" s="25"/>
      <c r="F114" s="23"/>
      <c r="G114" s="43"/>
      <c r="H114" s="48"/>
    </row>
    <row r="115" spans="1:8" x14ac:dyDescent="0.3">
      <c r="A115" s="42" t="str">
        <f>IF(PLANEJAMENTO!A115="","",PLANEJAMENTO!A115)</f>
        <v>CRC004VV</v>
      </c>
      <c r="B115" s="23"/>
      <c r="C115" s="25"/>
      <c r="D115" s="23"/>
      <c r="E115" s="25"/>
      <c r="F115" s="23"/>
      <c r="G115" s="43"/>
      <c r="H115" s="48"/>
    </row>
    <row r="116" spans="1:8" x14ac:dyDescent="0.3">
      <c r="A116" s="42" t="str">
        <f>IF(PLANEJAMENTO!A116="","",PLANEJAMENTO!A116)</f>
        <v>ACZ003T1</v>
      </c>
      <c r="B116" s="23" t="s">
        <v>563</v>
      </c>
      <c r="C116" s="25">
        <v>3500</v>
      </c>
      <c r="D116" s="23"/>
      <c r="E116" s="25"/>
      <c r="F116" s="23"/>
      <c r="G116" s="43"/>
      <c r="H116" s="48"/>
    </row>
    <row r="117" spans="1:8" x14ac:dyDescent="0.3">
      <c r="A117" s="42" t="str">
        <f>IF(PLANEJAMENTO!A117="","",PLANEJAMENTO!A117)</f>
        <v>CBF013T2</v>
      </c>
      <c r="B117" s="23"/>
      <c r="C117" s="25"/>
      <c r="D117" s="23"/>
      <c r="E117" s="25"/>
      <c r="F117" s="23"/>
      <c r="G117" s="43"/>
      <c r="H117" s="48"/>
    </row>
    <row r="118" spans="1:8" x14ac:dyDescent="0.3">
      <c r="A118" s="42" t="str">
        <f>IF(PLANEJAMENTO!A118="","",PLANEJAMENTO!A118)</f>
        <v>ETA001B3</v>
      </c>
      <c r="B118" s="23" t="s">
        <v>563</v>
      </c>
      <c r="C118" s="25">
        <v>13000</v>
      </c>
      <c r="D118" s="23"/>
      <c r="E118" s="25"/>
      <c r="F118" s="23"/>
      <c r="G118" s="43"/>
      <c r="H118" s="48"/>
    </row>
    <row r="119" spans="1:8" x14ac:dyDescent="0.3">
      <c r="A119" s="42" t="str">
        <f>IF(PLANEJAMENTO!A119="","",PLANEJAMENTO!A119)</f>
        <v>FUD001TM</v>
      </c>
      <c r="B119" s="23"/>
      <c r="C119" s="25"/>
      <c r="D119" s="23"/>
      <c r="E119" s="25"/>
      <c r="F119" s="23"/>
      <c r="G119" s="43"/>
      <c r="H119" s="48"/>
    </row>
    <row r="120" spans="1:8" x14ac:dyDescent="0.3">
      <c r="A120" s="42" t="str">
        <f>IF(PLANEJAMENTO!A120="","",PLANEJAMENTO!A120)</f>
        <v>CVL003VV</v>
      </c>
      <c r="B120" s="23"/>
      <c r="C120" s="25"/>
      <c r="D120" s="23"/>
      <c r="E120" s="25"/>
      <c r="F120" s="23"/>
      <c r="G120" s="43"/>
      <c r="H120" s="48"/>
    </row>
    <row r="121" spans="1:8" x14ac:dyDescent="0.3">
      <c r="A121" s="42" t="str">
        <f>IF(PLANEJAMENTO!A121="","",PLANEJAMENTO!A121)</f>
        <v>22080028-2</v>
      </c>
      <c r="B121" s="23" t="s">
        <v>565</v>
      </c>
      <c r="C121" s="25">
        <v>22000</v>
      </c>
      <c r="D121" s="23"/>
      <c r="E121" s="25"/>
      <c r="F121" s="23"/>
      <c r="G121" s="43"/>
      <c r="H121" s="48"/>
    </row>
    <row r="122" spans="1:8" x14ac:dyDescent="0.3">
      <c r="A122" s="42" t="str">
        <f>IF(PLANEJAMENTO!A122="","",PLANEJAMENTO!A122)</f>
        <v>NEO JMA</v>
      </c>
      <c r="B122" s="23" t="s">
        <v>522</v>
      </c>
      <c r="C122" s="25" t="s">
        <v>533</v>
      </c>
      <c r="D122" s="23"/>
      <c r="E122" s="25"/>
      <c r="F122" s="23"/>
      <c r="G122" s="43"/>
      <c r="H122" s="48"/>
    </row>
    <row r="123" spans="1:8" x14ac:dyDescent="0.3">
      <c r="A123" s="42" t="str">
        <f>IF(PLANEJAMENTO!A123="","",PLANEJAMENTO!A123)</f>
        <v>NEO SUP</v>
      </c>
      <c r="B123" s="23" t="s">
        <v>522</v>
      </c>
      <c r="C123" s="25" t="s">
        <v>533</v>
      </c>
      <c r="D123" s="23"/>
      <c r="E123" s="25"/>
      <c r="F123" s="23"/>
      <c r="G123" s="43"/>
      <c r="H123" s="48"/>
    </row>
    <row r="124" spans="1:8" x14ac:dyDescent="0.3">
      <c r="A124" s="42" t="str">
        <f>IF(PLANEJAMENTO!A124="","",PLANEJAMENTO!A124)</f>
        <v>NEO GUT</v>
      </c>
      <c r="B124" s="23" t="s">
        <v>522</v>
      </c>
      <c r="C124" s="25" t="s">
        <v>533</v>
      </c>
      <c r="D124" s="23"/>
      <c r="E124" s="25"/>
      <c r="F124" s="23"/>
      <c r="G124" s="43"/>
      <c r="H124" s="48"/>
    </row>
    <row r="125" spans="1:8" x14ac:dyDescent="0.3">
      <c r="A125" s="42" t="str">
        <f>IF(PLANEJAMENTO!A125="","",PLANEJAMENTO!A125)</f>
        <v>NEO REP ZBL</v>
      </c>
      <c r="B125" s="23" t="s">
        <v>522</v>
      </c>
      <c r="C125" s="25" t="s">
        <v>533</v>
      </c>
      <c r="D125" s="23"/>
      <c r="E125" s="25"/>
      <c r="F125" s="23"/>
      <c r="G125" s="43"/>
      <c r="H125" s="48"/>
    </row>
    <row r="126" spans="1:8" x14ac:dyDescent="0.3">
      <c r="A126" s="42" t="str">
        <f>IF(PLANEJAMENTO!A126="","",PLANEJAMENTO!A126)</f>
        <v>NEO SED</v>
      </c>
      <c r="B126" s="23" t="s">
        <v>522</v>
      </c>
      <c r="C126" s="25" t="s">
        <v>533</v>
      </c>
      <c r="D126" s="23"/>
      <c r="E126" s="25"/>
      <c r="F126" s="23"/>
      <c r="G126" s="43"/>
      <c r="H126" s="48"/>
    </row>
    <row r="127" spans="1:8" x14ac:dyDescent="0.3">
      <c r="A127" s="42" t="str">
        <f>IF(PLANEJAMENTO!A127="","",PLANEJAMENTO!A127)</f>
        <v>NEO BRN</v>
      </c>
      <c r="B127" s="23" t="s">
        <v>522</v>
      </c>
      <c r="C127" s="25" t="s">
        <v>533</v>
      </c>
      <c r="D127" s="23"/>
      <c r="E127" s="25"/>
      <c r="F127" s="23"/>
      <c r="G127" s="43"/>
      <c r="H127" s="48"/>
    </row>
    <row r="128" spans="1:8" x14ac:dyDescent="0.3">
      <c r="A128" s="42" t="str">
        <f>IF(PLANEJAMENTO!A128="","",PLANEJAMENTO!A128)</f>
        <v>NEO IRC</v>
      </c>
      <c r="B128" s="23" t="s">
        <v>522</v>
      </c>
      <c r="C128" s="25" t="s">
        <v>533</v>
      </c>
      <c r="D128" s="23"/>
      <c r="E128" s="25"/>
      <c r="F128" s="23"/>
      <c r="G128" s="43"/>
      <c r="H128" s="48"/>
    </row>
    <row r="129" spans="1:8" x14ac:dyDescent="0.3">
      <c r="A129" s="42" t="str">
        <f>IF(PLANEJAMENTO!A129="","",PLANEJAMENTO!A129)</f>
        <v>NEO ANC</v>
      </c>
      <c r="B129" s="23" t="s">
        <v>522</v>
      </c>
      <c r="C129" s="25" t="s">
        <v>533</v>
      </c>
      <c r="D129" s="23"/>
      <c r="E129" s="25"/>
      <c r="F129" s="23"/>
      <c r="G129" s="43"/>
      <c r="H129" s="48"/>
    </row>
    <row r="130" spans="1:8" x14ac:dyDescent="0.3">
      <c r="A130" s="42" t="str">
        <f>IF(PLANEJAMENTO!A130="","",PLANEJAMENTO!A130)</f>
        <v>NEO BRB</v>
      </c>
      <c r="B130" s="23" t="s">
        <v>522</v>
      </c>
      <c r="C130" s="25" t="s">
        <v>533</v>
      </c>
      <c r="D130" s="23"/>
      <c r="E130" s="25"/>
      <c r="F130" s="23"/>
      <c r="G130" s="43"/>
      <c r="H130" s="48"/>
    </row>
    <row r="131" spans="1:8" x14ac:dyDescent="0.3">
      <c r="A131" s="42" t="str">
        <f>IF(PLANEJAMENTO!A131="","",PLANEJAMENTO!A131)</f>
        <v>MAPLN001</v>
      </c>
      <c r="B131" s="23" t="s">
        <v>546</v>
      </c>
      <c r="C131" s="25">
        <v>2500</v>
      </c>
      <c r="D131" s="23" t="s">
        <v>554</v>
      </c>
      <c r="E131" s="25">
        <v>3700</v>
      </c>
      <c r="F131" s="23"/>
      <c r="G131" s="43"/>
      <c r="H131" s="48"/>
    </row>
    <row r="132" spans="1:8" x14ac:dyDescent="0.3">
      <c r="A132" s="42" t="str">
        <f>IF(PLANEJAMENTO!A132="","",PLANEJAMENTO!A132)</f>
        <v>SPNDT007</v>
      </c>
      <c r="B132" s="23"/>
      <c r="C132" s="25"/>
      <c r="D132" s="23"/>
      <c r="E132" s="25"/>
      <c r="F132" s="23"/>
      <c r="G132" s="43"/>
      <c r="H132" s="48"/>
    </row>
    <row r="133" spans="1:8" x14ac:dyDescent="0.3">
      <c r="A133" s="42" t="str">
        <f>IF(PLANEJAMENTO!A133="","",PLANEJAMENTO!A133)</f>
        <v>BR66801-A</v>
      </c>
      <c r="B133" s="23" t="s">
        <v>568</v>
      </c>
      <c r="C133" s="25">
        <v>10000</v>
      </c>
      <c r="D133" s="23"/>
      <c r="E133" s="25"/>
      <c r="F133" s="23"/>
      <c r="G133" s="43"/>
      <c r="H133" s="48"/>
    </row>
    <row r="134" spans="1:8" x14ac:dyDescent="0.3">
      <c r="A134" s="42" t="str">
        <f>IF(PLANEJAMENTO!A134="","",PLANEJAMENTO!A134)</f>
        <v>BR49629-A</v>
      </c>
      <c r="B134" s="23" t="s">
        <v>553</v>
      </c>
      <c r="C134" s="25">
        <v>200</v>
      </c>
      <c r="D134" s="23"/>
      <c r="E134" s="25"/>
      <c r="F134" s="23"/>
      <c r="G134" s="43"/>
      <c r="H134" s="48"/>
    </row>
    <row r="135" spans="1:8" x14ac:dyDescent="0.3">
      <c r="A135" s="42" t="str">
        <f>IF(PLANEJAMENTO!A135="","",PLANEJAMENTO!A135)</f>
        <v>BR51120-A</v>
      </c>
      <c r="B135" s="23" t="s">
        <v>571</v>
      </c>
      <c r="C135" s="25">
        <v>1200</v>
      </c>
      <c r="D135" s="23"/>
      <c r="E135" s="25"/>
      <c r="F135" s="23"/>
      <c r="G135" s="43"/>
      <c r="H135" s="48"/>
    </row>
    <row r="136" spans="1:8" x14ac:dyDescent="0.3">
      <c r="A136" s="42" t="str">
        <f>IF(PLANEJAMENTO!A136="","",PLANEJAMENTO!A136)</f>
        <v>MSNVN002</v>
      </c>
      <c r="B136" s="23" t="s">
        <v>517</v>
      </c>
      <c r="C136" s="25">
        <v>3800</v>
      </c>
      <c r="D136" s="23" t="s">
        <v>544</v>
      </c>
      <c r="E136" s="25">
        <v>2400</v>
      </c>
      <c r="F136" s="23" t="s">
        <v>545</v>
      </c>
      <c r="G136" s="43">
        <v>60</v>
      </c>
      <c r="H136" s="48"/>
    </row>
    <row r="137" spans="1:8" x14ac:dyDescent="0.3">
      <c r="A137" s="42" t="str">
        <f>IF(PLANEJAMENTO!A137="","",PLANEJAMENTO!A137)</f>
        <v>SP4-CDA-001</v>
      </c>
      <c r="B137" s="23" t="s">
        <v>520</v>
      </c>
      <c r="C137" s="25">
        <v>1160</v>
      </c>
      <c r="D137" s="23"/>
      <c r="E137" s="25"/>
      <c r="F137" s="23"/>
      <c r="G137" s="43"/>
      <c r="H137" s="48"/>
    </row>
    <row r="138" spans="1:8" x14ac:dyDescent="0.3">
      <c r="A138" s="42" t="str">
        <f>IF(PLANEJAMENTO!A138="","",PLANEJAMENTO!A138)</f>
        <v>DVE001VV</v>
      </c>
      <c r="B138" s="23" t="s">
        <v>526</v>
      </c>
      <c r="C138" s="25">
        <v>1500</v>
      </c>
      <c r="D138" s="23"/>
      <c r="E138" s="25"/>
      <c r="F138" s="23"/>
      <c r="G138" s="43"/>
      <c r="H138" s="48"/>
    </row>
    <row r="139" spans="1:8" x14ac:dyDescent="0.3">
      <c r="A139" s="42" t="str">
        <f>IF(PLANEJAMENTO!A139="","",PLANEJAMENTO!A139)</f>
        <v>BR-MG-BHE-01565</v>
      </c>
      <c r="B139" s="23" t="s">
        <v>572</v>
      </c>
      <c r="C139" s="25">
        <v>10000</v>
      </c>
      <c r="D139" s="23"/>
      <c r="E139" s="25"/>
      <c r="F139" s="23"/>
      <c r="G139" s="43"/>
      <c r="H139" s="48"/>
    </row>
    <row r="140" spans="1:8" x14ac:dyDescent="0.3">
      <c r="A140" s="42" t="str">
        <f>IF(PLANEJAMENTO!A140="","",PLANEJAMENTO!A140)</f>
        <v>BR-PR-LDB-00383</v>
      </c>
      <c r="B140" s="23" t="s">
        <v>573</v>
      </c>
      <c r="C140" s="25">
        <v>12900</v>
      </c>
      <c r="D140" s="23"/>
      <c r="E140" s="25"/>
      <c r="F140" s="23"/>
      <c r="G140" s="43"/>
      <c r="H140" s="48"/>
    </row>
    <row r="141" spans="1:8" x14ac:dyDescent="0.3">
      <c r="A141" s="42" t="str">
        <f>IF(PLANEJAMENTO!A141="","",PLANEJAMENTO!A141)</f>
        <v>BR-RJ-NIG-01608</v>
      </c>
      <c r="B141" s="23" t="s">
        <v>568</v>
      </c>
      <c r="C141" s="25">
        <v>9000</v>
      </c>
      <c r="D141" s="23"/>
      <c r="E141" s="25"/>
      <c r="F141" s="23"/>
      <c r="G141" s="43"/>
      <c r="H141" s="48"/>
    </row>
    <row r="142" spans="1:8" x14ac:dyDescent="0.3">
      <c r="A142" s="42" t="str">
        <f>IF(PLANEJAMENTO!A142="","",PLANEJAMENTO!A142)</f>
        <v>BR-SC-SQX-01654</v>
      </c>
      <c r="B142" s="23" t="s">
        <v>573</v>
      </c>
      <c r="C142" s="25">
        <v>11200</v>
      </c>
      <c r="D142" s="23"/>
      <c r="E142" s="25"/>
      <c r="F142" s="23"/>
      <c r="G142" s="43"/>
      <c r="H142" s="48"/>
    </row>
    <row r="143" spans="1:8" x14ac:dyDescent="0.3">
      <c r="A143" s="42" t="str">
        <f>IF(PLANEJAMENTO!A143="","",PLANEJAMENTO!A143)</f>
        <v>BR-SP-SPO-01848</v>
      </c>
      <c r="B143" s="23" t="s">
        <v>572</v>
      </c>
      <c r="C143" s="25">
        <v>11000</v>
      </c>
      <c r="D143" s="23"/>
      <c r="E143" s="25"/>
      <c r="F143" s="23"/>
      <c r="G143" s="43"/>
      <c r="H143" s="48"/>
    </row>
    <row r="144" spans="1:8" x14ac:dyDescent="0.3">
      <c r="A144" s="42" t="str">
        <f>IF(PLANEJAMENTO!A144="","",PLANEJAMENTO!A144)</f>
        <v>BR-SP-TBS-00289</v>
      </c>
      <c r="B144" s="23" t="s">
        <v>572</v>
      </c>
      <c r="C144" s="25">
        <v>10000</v>
      </c>
      <c r="D144" s="23"/>
      <c r="E144" s="25"/>
      <c r="F144" s="23"/>
      <c r="G144" s="43"/>
      <c r="H144" s="48"/>
    </row>
    <row r="145" spans="1:8" x14ac:dyDescent="0.3">
      <c r="A145" s="42" t="str">
        <f>IF(PLANEJAMENTO!A145="","",PLANEJAMENTO!A145)</f>
        <v>BR-MG-COG-01032</v>
      </c>
      <c r="B145" s="23" t="s">
        <v>520</v>
      </c>
      <c r="C145" s="25">
        <v>12300</v>
      </c>
      <c r="D145" s="23"/>
      <c r="E145" s="25"/>
      <c r="F145" s="23"/>
      <c r="G145" s="43"/>
      <c r="H145" s="48"/>
    </row>
    <row r="146" spans="1:8" x14ac:dyDescent="0.3">
      <c r="A146" s="42" t="str">
        <f>IF(PLANEJAMENTO!A146="","",PLANEJAMENTO!A146)</f>
        <v>RJO221B1</v>
      </c>
      <c r="B146" s="23" t="s">
        <v>565</v>
      </c>
      <c r="C146" s="25">
        <v>1200</v>
      </c>
      <c r="D146" s="23"/>
      <c r="E146" s="25"/>
      <c r="F146" s="23"/>
      <c r="G146" s="43"/>
      <c r="H146" s="48"/>
    </row>
    <row r="147" spans="1:8" x14ac:dyDescent="0.3">
      <c r="A147" s="42" t="str">
        <f>IF(PLANEJAMENTO!A147="","",PLANEJAMENTO!A147)</f>
        <v>CUB010VV</v>
      </c>
      <c r="B147" s="23" t="s">
        <v>535</v>
      </c>
      <c r="C147" s="25">
        <v>300</v>
      </c>
      <c r="D147" s="23"/>
      <c r="E147" s="25"/>
      <c r="F147" s="23"/>
      <c r="G147" s="43"/>
      <c r="H147" s="48"/>
    </row>
    <row r="148" spans="1:8" x14ac:dyDescent="0.3">
      <c r="A148" s="42">
        <f>IF(PLANEJAMENTO!A148="","",PLANEJAMENTO!A148)</f>
        <v>61060148</v>
      </c>
      <c r="B148" s="23" t="s">
        <v>574</v>
      </c>
      <c r="C148" s="25">
        <v>400</v>
      </c>
      <c r="D148" s="23"/>
      <c r="E148" s="25"/>
      <c r="F148" s="23"/>
      <c r="G148" s="43"/>
      <c r="H148" s="48"/>
    </row>
    <row r="149" spans="1:8" x14ac:dyDescent="0.3">
      <c r="A149" s="42" t="str">
        <f>IF(PLANEJAMENTO!A149="","",PLANEJAMENTO!A149)</f>
        <v>PRMGL001</v>
      </c>
      <c r="B149" s="23" t="s">
        <v>573</v>
      </c>
      <c r="C149" s="25">
        <v>11000</v>
      </c>
      <c r="D149" s="23"/>
      <c r="E149" s="25"/>
      <c r="F149" s="23"/>
      <c r="G149" s="43"/>
      <c r="H149" s="48"/>
    </row>
    <row r="150" spans="1:8" x14ac:dyDescent="0.3">
      <c r="A150" s="42" t="str">
        <f>IF(PLANEJAMENTO!A150="","",PLANEJAMENTO!A150)</f>
        <v>MMS002T1</v>
      </c>
      <c r="B150" s="23" t="s">
        <v>563</v>
      </c>
      <c r="C150" s="25">
        <v>6700</v>
      </c>
      <c r="D150" s="23"/>
      <c r="E150" s="25"/>
      <c r="F150" s="23"/>
      <c r="G150" s="43"/>
      <c r="H150" s="48"/>
    </row>
    <row r="151" spans="1:8" x14ac:dyDescent="0.3">
      <c r="A151" s="42">
        <f>IF(PLANEJAMENTO!A151="","",PLANEJAMENTO!A151)</f>
        <v>22080028</v>
      </c>
      <c r="B151" s="23" t="s">
        <v>575</v>
      </c>
      <c r="C151" s="25">
        <f>20100+695+10000+3247.5+125</f>
        <v>34167.5</v>
      </c>
      <c r="D151" s="23" t="s">
        <v>565</v>
      </c>
      <c r="E151" s="25">
        <v>2000</v>
      </c>
      <c r="F151" s="23"/>
      <c r="G151" s="43"/>
      <c r="H151" s="48"/>
    </row>
    <row r="152" spans="1:8" x14ac:dyDescent="0.3">
      <c r="A152" s="42" t="str">
        <f>IF(PLANEJAMENTO!A152="","",PLANEJAMENTO!A152)</f>
        <v>BAPXD4536</v>
      </c>
      <c r="B152" s="23" t="s">
        <v>531</v>
      </c>
      <c r="C152" s="25">
        <v>22000</v>
      </c>
      <c r="D152" s="23"/>
      <c r="E152" s="25"/>
      <c r="F152" s="23"/>
      <c r="G152" s="43"/>
      <c r="H152" s="48"/>
    </row>
    <row r="153" spans="1:8" x14ac:dyDescent="0.3">
      <c r="A153" s="42" t="str">
        <f>IF(PLANEJAMENTO!A153="","",PLANEJAMENTO!A153)</f>
        <v>VGA001VV</v>
      </c>
      <c r="B153" s="23" t="s">
        <v>526</v>
      </c>
      <c r="C153" s="25">
        <v>1000</v>
      </c>
      <c r="D153" s="23"/>
      <c r="E153" s="25"/>
      <c r="F153" s="23"/>
      <c r="G153" s="43"/>
      <c r="H153" s="48"/>
    </row>
    <row r="154" spans="1:8" x14ac:dyDescent="0.3">
      <c r="A154" s="42" t="str">
        <f>IF(PLANEJAMENTO!A154="","",PLANEJAMENTO!A154)</f>
        <v>JZF002VV</v>
      </c>
      <c r="B154" s="23"/>
      <c r="C154" s="25"/>
      <c r="D154" s="23"/>
      <c r="E154" s="25"/>
      <c r="F154" s="23"/>
      <c r="G154" s="43"/>
      <c r="H154" s="48"/>
    </row>
    <row r="155" spans="1:8" x14ac:dyDescent="0.3">
      <c r="A155" s="42" t="str">
        <f>IF(PLANEJAMENTO!A155="","",PLANEJAMENTO!A155)</f>
        <v>TURVO</v>
      </c>
      <c r="B155" s="23" t="s">
        <v>522</v>
      </c>
      <c r="C155" s="25" t="s">
        <v>533</v>
      </c>
      <c r="D155" s="23"/>
      <c r="E155" s="25"/>
      <c r="F155" s="23"/>
      <c r="G155" s="43"/>
      <c r="H155" s="48"/>
    </row>
    <row r="156" spans="1:8" x14ac:dyDescent="0.3">
      <c r="A156" s="42" t="str">
        <f>IF(PLANEJAMENTO!A156="","",PLANEJAMENTO!A156)</f>
        <v>UMB001TM</v>
      </c>
      <c r="B156" s="23" t="s">
        <v>576</v>
      </c>
      <c r="C156" s="25">
        <v>1900</v>
      </c>
      <c r="D156" s="23"/>
      <c r="E156" s="25"/>
      <c r="F156" s="23"/>
      <c r="G156" s="43"/>
      <c r="H156" s="48"/>
    </row>
    <row r="157" spans="1:8" x14ac:dyDescent="0.3">
      <c r="A157" s="42" t="str">
        <f>IF(PLANEJAMENTO!A157="","",PLANEJAMENTO!A157)</f>
        <v>ABZ002AT</v>
      </c>
      <c r="B157" s="23"/>
      <c r="C157" s="25"/>
      <c r="D157" s="23"/>
      <c r="E157" s="25"/>
      <c r="F157" s="23"/>
      <c r="G157" s="43"/>
      <c r="H157" s="48"/>
    </row>
    <row r="158" spans="1:8" x14ac:dyDescent="0.3">
      <c r="A158" s="42" t="str">
        <f>IF(PLANEJAMENTO!A158="","",PLANEJAMENTO!A158)</f>
        <v>CGY005TM</v>
      </c>
      <c r="B158" s="23"/>
      <c r="C158" s="25"/>
      <c r="D158" s="23"/>
      <c r="E158" s="25"/>
      <c r="F158" s="23"/>
      <c r="G158" s="43"/>
      <c r="H158" s="48"/>
    </row>
    <row r="159" spans="1:8" x14ac:dyDescent="0.3">
      <c r="A159" s="42" t="str">
        <f>IF(PLANEJAMENTO!A159="","",PLANEJAMENTO!A159)</f>
        <v>BR49615-A</v>
      </c>
      <c r="B159" s="23" t="s">
        <v>572</v>
      </c>
      <c r="C159" s="25">
        <v>23000</v>
      </c>
      <c r="D159" s="23"/>
      <c r="E159" s="25"/>
      <c r="F159" s="23"/>
      <c r="G159" s="43"/>
      <c r="H159" s="48"/>
    </row>
    <row r="160" spans="1:8" x14ac:dyDescent="0.3">
      <c r="A160" s="42" t="str">
        <f>IF(PLANEJAMENTO!A160="","",PLANEJAMENTO!A160)</f>
        <v>BAPRT002</v>
      </c>
      <c r="B160" s="23"/>
      <c r="C160" s="25"/>
      <c r="D160" s="23"/>
      <c r="E160" s="25"/>
      <c r="F160" s="23"/>
      <c r="G160" s="43"/>
      <c r="H160" s="48"/>
    </row>
    <row r="161" spans="1:8" x14ac:dyDescent="0.3">
      <c r="A161" s="42" t="str">
        <f>IF(PLANEJAMENTO!A161="","",PLANEJAMENTO!A161)</f>
        <v>GOGNAN2</v>
      </c>
      <c r="B161" s="23"/>
      <c r="C161" s="25"/>
      <c r="D161" s="23"/>
      <c r="E161" s="25"/>
      <c r="F161" s="23"/>
      <c r="G161" s="43"/>
      <c r="H161" s="48"/>
    </row>
    <row r="162" spans="1:8" x14ac:dyDescent="0.3">
      <c r="A162" s="42" t="str">
        <f>IF(PLANEJAMENTO!A162="","",PLANEJAMENTO!A162)</f>
        <v>GOGNAN1</v>
      </c>
      <c r="B162" s="23"/>
      <c r="C162" s="25"/>
      <c r="D162" s="23"/>
      <c r="E162" s="25"/>
      <c r="F162" s="23"/>
      <c r="G162" s="43"/>
      <c r="H162" s="48"/>
    </row>
    <row r="163" spans="1:8" x14ac:dyDescent="0.3">
      <c r="A163" s="42" t="str">
        <f>IF(PLANEJAMENTO!A163="","",PLANEJAMENTO!A163)</f>
        <v>GOGNAM9</v>
      </c>
      <c r="B163" s="23"/>
      <c r="C163" s="25"/>
      <c r="D163" s="23"/>
      <c r="E163" s="25"/>
      <c r="F163" s="23"/>
      <c r="G163" s="43"/>
      <c r="H163" s="48"/>
    </row>
    <row r="164" spans="1:8" x14ac:dyDescent="0.3">
      <c r="A164" s="42" t="str">
        <f>IF(PLANEJAMENTO!A164="","",PLANEJAMENTO!A164)</f>
        <v>GOGNAK8</v>
      </c>
      <c r="B164" s="23"/>
      <c r="C164" s="25"/>
      <c r="D164" s="23"/>
      <c r="E164" s="25"/>
      <c r="F164" s="23"/>
      <c r="G164" s="43"/>
      <c r="H164" s="48"/>
    </row>
    <row r="165" spans="1:8" x14ac:dyDescent="0.3">
      <c r="A165" s="42" t="str">
        <f>IF(PLANEJAMENTO!A165="","",PLANEJAMENTO!A165)</f>
        <v>BR54537-B</v>
      </c>
      <c r="B165" s="23"/>
      <c r="C165" s="25"/>
      <c r="D165" s="23"/>
      <c r="E165" s="25"/>
      <c r="F165" s="23"/>
      <c r="G165" s="43"/>
      <c r="H165" s="48"/>
    </row>
    <row r="166" spans="1:8" x14ac:dyDescent="0.3">
      <c r="A166" s="42" t="str">
        <f>IF(PLANEJAMENTO!A166="","",PLANEJAMENTO!A166)</f>
        <v>CEEUS001NX</v>
      </c>
      <c r="B166" s="23"/>
      <c r="C166" s="25"/>
      <c r="D166" s="23"/>
      <c r="E166" s="25"/>
      <c r="F166" s="23"/>
      <c r="G166" s="43"/>
      <c r="H166" s="48"/>
    </row>
    <row r="167" spans="1:8" x14ac:dyDescent="0.3">
      <c r="A167" s="42" t="str">
        <f>IF(PLANEJAMENTO!A167="","",PLANEJAMENTO!A167)</f>
        <v>MAVNX001</v>
      </c>
      <c r="B167" s="23" t="s">
        <v>522</v>
      </c>
      <c r="C167" s="25"/>
      <c r="D167" s="23"/>
      <c r="E167" s="25"/>
      <c r="F167" s="23"/>
      <c r="G167" s="43"/>
      <c r="H167" s="48"/>
    </row>
    <row r="168" spans="1:8" x14ac:dyDescent="0.3">
      <c r="A168" s="42" t="str">
        <f>IF(PLANEJAMENTO!A168="","",PLANEJAMENTO!A168)</f>
        <v>MABMX002</v>
      </c>
      <c r="B168" s="23" t="s">
        <v>574</v>
      </c>
      <c r="C168" s="25">
        <v>750</v>
      </c>
      <c r="D168" s="23"/>
      <c r="E168" s="25"/>
      <c r="F168" s="23"/>
      <c r="G168" s="43"/>
      <c r="H168" s="48"/>
    </row>
    <row r="169" spans="1:8" x14ac:dyDescent="0.3">
      <c r="A169" s="42" t="str">
        <f>IF(PLANEJAMENTO!A169="","",PLANEJAMENTO!A169)</f>
        <v>MABCY001</v>
      </c>
      <c r="B169" s="23" t="s">
        <v>544</v>
      </c>
      <c r="C169" s="25">
        <v>1100</v>
      </c>
      <c r="D169" s="23"/>
      <c r="E169" s="25"/>
      <c r="F169" s="23"/>
      <c r="G169" s="43"/>
      <c r="H169" s="48"/>
    </row>
    <row r="170" spans="1:8" x14ac:dyDescent="0.3">
      <c r="A170" s="46" t="str">
        <f>IF(PLANEJAMENTO!A170="","",PLANEJAMENTO!A170)</f>
        <v>RPE002T1</v>
      </c>
      <c r="B170" s="38" t="s">
        <v>577</v>
      </c>
      <c r="C170" s="39">
        <v>1500</v>
      </c>
      <c r="D170" s="38"/>
      <c r="E170" s="39"/>
      <c r="F170" s="38"/>
      <c r="G170" s="47"/>
      <c r="H170" s="48"/>
    </row>
    <row r="171" spans="1:8" x14ac:dyDescent="0.3">
      <c r="A171" s="46" t="str">
        <f>IF(PLANEJAMENTO!A171="","",PLANEJAMENTO!A171)</f>
        <v>AFL001T1</v>
      </c>
      <c r="B171" s="23" t="s">
        <v>517</v>
      </c>
      <c r="C171" s="25">
        <v>6000</v>
      </c>
      <c r="D171" s="23"/>
      <c r="E171" s="25"/>
      <c r="F171" s="23"/>
      <c r="G171" s="43"/>
      <c r="H171" s="48"/>
    </row>
    <row r="172" spans="1:8" x14ac:dyDescent="0.3">
      <c r="A172" s="46" t="str">
        <f>IF(PLANEJAMENTO!A172="","",PLANEJAMENTO!A172)</f>
        <v/>
      </c>
      <c r="B172" s="23"/>
      <c r="C172" s="25"/>
      <c r="D172" s="23"/>
      <c r="E172" s="25"/>
      <c r="F172" s="23"/>
      <c r="G172" s="43"/>
      <c r="H172" s="48"/>
    </row>
    <row r="173" spans="1:8" x14ac:dyDescent="0.3">
      <c r="A173" s="46" t="str">
        <f>IF(PLANEJAMENTO!A173="","",PLANEJAMENTO!A173)</f>
        <v/>
      </c>
      <c r="B173" s="23"/>
      <c r="C173" s="25"/>
      <c r="D173" s="23"/>
      <c r="E173" s="25"/>
      <c r="F173" s="23"/>
      <c r="G173" s="43"/>
      <c r="H173" s="48"/>
    </row>
    <row r="174" spans="1:8" x14ac:dyDescent="0.3">
      <c r="A174" s="46" t="str">
        <f>IF(PLANEJAMENTO!A174="","",PLANEJAMENTO!A174)</f>
        <v/>
      </c>
      <c r="B174" s="23"/>
      <c r="C174" s="25"/>
      <c r="D174" s="23"/>
      <c r="E174" s="25"/>
      <c r="F174" s="23"/>
      <c r="G174" s="43"/>
      <c r="H174" s="48"/>
    </row>
    <row r="175" spans="1:8" x14ac:dyDescent="0.3">
      <c r="A175" s="46" t="str">
        <f>IF(PLANEJAMENTO!A175="","",PLANEJAMENTO!A175)</f>
        <v/>
      </c>
      <c r="B175" s="23"/>
      <c r="C175" s="25"/>
      <c r="D175" s="23"/>
      <c r="E175" s="25"/>
      <c r="F175" s="23"/>
      <c r="G175" s="43"/>
      <c r="H175" s="48"/>
    </row>
    <row r="176" spans="1:8" x14ac:dyDescent="0.3">
      <c r="A176" s="46" t="str">
        <f>IF(PLANEJAMENTO!A176="","",PLANEJAMENTO!A176)</f>
        <v/>
      </c>
      <c r="B176" s="23"/>
      <c r="C176" s="25"/>
      <c r="D176" s="23"/>
      <c r="E176" s="25"/>
      <c r="F176" s="23"/>
      <c r="G176" s="43"/>
      <c r="H176" s="48"/>
    </row>
    <row r="177" spans="1:8" x14ac:dyDescent="0.3">
      <c r="A177" s="42" t="str">
        <f>IF(PLANEJAMENTO!A177="","",PLANEJAMENTO!A177)</f>
        <v/>
      </c>
      <c r="B177" s="23"/>
      <c r="C177" s="25"/>
      <c r="D177" s="23"/>
      <c r="E177" s="25"/>
      <c r="F177" s="23"/>
      <c r="G177" s="43"/>
      <c r="H177" s="48"/>
    </row>
    <row r="178" spans="1:8" x14ac:dyDescent="0.3">
      <c r="A178" s="42" t="str">
        <f>IF(PLANEJAMENTO!A178="","",PLANEJAMENTO!A178)</f>
        <v/>
      </c>
      <c r="B178" s="23"/>
      <c r="C178" s="25"/>
      <c r="D178" s="23"/>
      <c r="E178" s="25"/>
      <c r="F178" s="23"/>
      <c r="G178" s="43"/>
      <c r="H178" s="48"/>
    </row>
    <row r="179" spans="1:8" x14ac:dyDescent="0.3">
      <c r="A179" s="42" t="str">
        <f>IF(PLANEJAMENTO!A179="","",PLANEJAMENTO!A179)</f>
        <v/>
      </c>
      <c r="B179" s="23"/>
      <c r="C179" s="25"/>
      <c r="D179" s="23"/>
      <c r="E179" s="25"/>
      <c r="F179" s="23"/>
      <c r="G179" s="43"/>
      <c r="H179" s="48"/>
    </row>
    <row r="180" spans="1:8" x14ac:dyDescent="0.3">
      <c r="A180" s="42" t="str">
        <f>IF(PLANEJAMENTO!A180="","",PLANEJAMENTO!A180)</f>
        <v/>
      </c>
      <c r="B180" s="23"/>
      <c r="C180" s="25"/>
      <c r="D180" s="23"/>
      <c r="E180" s="25"/>
      <c r="F180" s="23"/>
      <c r="G180" s="43"/>
      <c r="H180" s="48"/>
    </row>
    <row r="181" spans="1:8" x14ac:dyDescent="0.3">
      <c r="A181" s="42" t="str">
        <f>IF(PLANEJAMENTO!A181="","",PLANEJAMENTO!A181)</f>
        <v/>
      </c>
      <c r="B181" s="23"/>
      <c r="C181" s="25"/>
      <c r="D181" s="23"/>
      <c r="E181" s="25"/>
      <c r="F181" s="23"/>
      <c r="G181" s="43"/>
      <c r="H181" s="48"/>
    </row>
    <row r="182" spans="1:8" x14ac:dyDescent="0.3">
      <c r="A182" s="42" t="str">
        <f>IF(PLANEJAMENTO!A182="","",PLANEJAMENTO!A182)</f>
        <v/>
      </c>
      <c r="B182" s="23"/>
      <c r="C182" s="25"/>
      <c r="D182" s="23"/>
      <c r="E182" s="25"/>
      <c r="F182" s="23"/>
      <c r="G182" s="43"/>
      <c r="H182" s="48"/>
    </row>
    <row r="183" spans="1:8" x14ac:dyDescent="0.3">
      <c r="A183" s="42" t="str">
        <f>IF(PLANEJAMENTO!A183="","",PLANEJAMENTO!A183)</f>
        <v/>
      </c>
      <c r="B183" s="23"/>
      <c r="C183" s="25"/>
      <c r="D183" s="23"/>
      <c r="E183" s="25"/>
      <c r="F183" s="23"/>
      <c r="G183" s="43"/>
      <c r="H183" s="48"/>
    </row>
    <row r="184" spans="1:8" x14ac:dyDescent="0.3">
      <c r="A184" s="42" t="str">
        <f>IF(PLANEJAMENTO!A184="","",PLANEJAMENTO!A184)</f>
        <v/>
      </c>
      <c r="B184" s="23"/>
      <c r="C184" s="25"/>
      <c r="D184" s="23"/>
      <c r="E184" s="25"/>
      <c r="F184" s="23"/>
      <c r="G184" s="43"/>
      <c r="H184" s="48"/>
    </row>
    <row r="185" spans="1:8" x14ac:dyDescent="0.3">
      <c r="A185" s="42" t="str">
        <f>IF(PLANEJAMENTO!A185="","",PLANEJAMENTO!A185)</f>
        <v/>
      </c>
      <c r="B185" s="23"/>
      <c r="C185" s="25"/>
      <c r="D185" s="23"/>
      <c r="E185" s="25"/>
      <c r="F185" s="23"/>
      <c r="G185" s="43"/>
      <c r="H185" s="48"/>
    </row>
    <row r="186" spans="1:8" x14ac:dyDescent="0.3">
      <c r="A186" s="46" t="str">
        <f>IF(PLANEJAMENTO!A186="","",PLANEJAMENTO!A186)</f>
        <v/>
      </c>
      <c r="B186" s="38"/>
      <c r="C186" s="39"/>
      <c r="D186" s="38"/>
      <c r="E186" s="39"/>
      <c r="F186" s="38"/>
      <c r="G186" s="47"/>
      <c r="H186" s="48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85"/>
  <sheetViews>
    <sheetView tabSelected="1" topLeftCell="A75" zoomScale="70" zoomScaleNormal="70" workbookViewId="0">
      <selection activeCell="D85" sqref="D85"/>
    </sheetView>
  </sheetViews>
  <sheetFormatPr defaultRowHeight="15" customHeight="1" x14ac:dyDescent="0.3"/>
  <cols>
    <col min="1" max="1" width="41.6640625" bestFit="1" customWidth="1"/>
    <col min="2" max="2" width="41.6640625" hidden="1" customWidth="1"/>
    <col min="3" max="4" width="41.6640625" customWidth="1"/>
    <col min="5" max="5" width="11.6640625" bestFit="1" customWidth="1"/>
    <col min="6" max="6" width="19.33203125" bestFit="1" customWidth="1"/>
    <col min="7" max="7" width="12" customWidth="1"/>
    <col min="8" max="8" width="12.109375" bestFit="1" customWidth="1"/>
    <col min="9" max="9" width="23.6640625" bestFit="1" customWidth="1"/>
    <col min="10" max="10" width="27.88671875" style="1" bestFit="1" customWidth="1"/>
    <col min="11" max="11" width="14.5546875" bestFit="1" customWidth="1"/>
  </cols>
  <sheetData>
    <row r="1" spans="1:11" ht="14.4" x14ac:dyDescent="0.3">
      <c r="A1" s="4" t="s">
        <v>0</v>
      </c>
      <c r="B1" s="4" t="s">
        <v>1</v>
      </c>
      <c r="C1" s="4" t="s">
        <v>3</v>
      </c>
      <c r="D1" s="4" t="s">
        <v>2</v>
      </c>
      <c r="E1" s="4" t="s">
        <v>6</v>
      </c>
      <c r="F1" s="4" t="s">
        <v>578</v>
      </c>
      <c r="G1" s="4" t="s">
        <v>579</v>
      </c>
      <c r="H1" s="4" t="s">
        <v>580</v>
      </c>
      <c r="I1" s="4" t="s">
        <v>13</v>
      </c>
      <c r="J1" s="4" t="s">
        <v>581</v>
      </c>
      <c r="K1" s="4" t="s">
        <v>582</v>
      </c>
    </row>
    <row r="2" spans="1:11" ht="14.4" x14ac:dyDescent="0.3">
      <c r="A2" s="6" t="str">
        <f>IF(PLANEJAMENTO!A2="","",PLANEJAMENTO!A2)</f>
        <v>BR88410-A</v>
      </c>
      <c r="B2" s="6" t="str">
        <f>IF(PLANEJAMENTO!B2="","",PLANEJAMENTO!B2)</f>
        <v>contel-01</v>
      </c>
      <c r="C2" s="6" t="str">
        <f>IF(PLANEJAMENTO!D2="","",PLANEJAMENTO!D2)</f>
        <v>CUJIBIM</v>
      </c>
      <c r="D2" s="6" t="str">
        <f>IF(PLANEJAMENTO!C2="","",PLANEJAMENTO!C2)</f>
        <v>SBA</v>
      </c>
      <c r="E2" s="1">
        <f>IF(PLANEJAMENTO!G2="","",PLANEJAMENTO!G2)</f>
        <v>1457</v>
      </c>
      <c r="F2">
        <f t="shared" ref="F2:F33" si="0">IF(AND(G2&lt;&gt;"",H2&lt;&gt;""),H2-G2+1,"")</f>
        <v>31</v>
      </c>
      <c r="G2" s="5">
        <v>45946</v>
      </c>
      <c r="H2" s="5">
        <v>45976</v>
      </c>
      <c r="I2" s="10" t="str">
        <f t="shared" ref="I2:I33" si="1">IF(K2="FINALIZADO","✅ CONCLUÍDO",
   IF(K2="PARALISADO","⚠️ PARALISADO",IF(K2="CANCELADO","🚫CANCELADO",
      IF(J2="","🕓 EM ANDAMENTO",
         IF(J2&lt;0,"⏰ ATRASADO",
            "🕓 EM ANDAMENTO"
         )
      )
   )
))</f>
        <v>✅ CONCLUÍDO</v>
      </c>
      <c r="J2" s="1">
        <f t="shared" ref="J2:J33" ca="1" si="2">IF(K2="FINALIZADO",0,IF(ISBLANK(H2),"",H2-TODAY()))</f>
        <v>0</v>
      </c>
      <c r="K2" t="s">
        <v>583</v>
      </c>
    </row>
    <row r="3" spans="1:11" ht="14.4" x14ac:dyDescent="0.3">
      <c r="A3" s="6" t="str">
        <f>IF(PLANEJAMENTO!A3="","",PLANEJAMENTO!A3)</f>
        <v>BR87873-R</v>
      </c>
      <c r="B3" s="6" t="str">
        <f>IF(PLANEJAMENTO!B3="","",PLANEJAMENTO!B3)</f>
        <v>contel-02</v>
      </c>
      <c r="C3" s="6" t="str">
        <f>IF(PLANEJAMENTO!D3="","",PLANEJAMENTO!D3)</f>
        <v>GOIÂNIA</v>
      </c>
      <c r="D3" s="6" t="str">
        <f>IF(PLANEJAMENTO!C3="","",PLANEJAMENTO!C3)</f>
        <v>SBA</v>
      </c>
      <c r="E3" s="1">
        <f>IF(PLANEJAMENTO!G3="","",PLANEJAMENTO!G3)</f>
        <v>1527</v>
      </c>
      <c r="F3">
        <f t="shared" si="0"/>
        <v>31</v>
      </c>
      <c r="G3" s="5">
        <v>45959</v>
      </c>
      <c r="H3" s="5">
        <v>45989</v>
      </c>
      <c r="I3" s="10" t="str">
        <f t="shared" si="1"/>
        <v>✅ CONCLUÍDO</v>
      </c>
      <c r="J3" s="1">
        <f t="shared" ca="1" si="2"/>
        <v>0</v>
      </c>
      <c r="K3" t="s">
        <v>583</v>
      </c>
    </row>
    <row r="4" spans="1:11" ht="14.4" x14ac:dyDescent="0.3">
      <c r="A4" s="6" t="str">
        <f>IF(PLANEJAMENTO!A4="","",PLANEJAMENTO!A4)</f>
        <v>BR72396-A</v>
      </c>
      <c r="B4" s="6" t="str">
        <f>IF(PLANEJAMENTO!B4="","",PLANEJAMENTO!B4)</f>
        <v>contel-03</v>
      </c>
      <c r="C4" s="6" t="str">
        <f>IF(PLANEJAMENTO!D4="","",PLANEJAMENTO!D4)</f>
        <v>PONTE NOVA</v>
      </c>
      <c r="D4" s="6" t="str">
        <f>IF(PLANEJAMENTO!C4="","",PLANEJAMENTO!C4)</f>
        <v>SBA</v>
      </c>
      <c r="E4" s="1">
        <f>IF(PLANEJAMENTO!G4="","",PLANEJAMENTO!G4)</f>
        <v>1582</v>
      </c>
      <c r="F4">
        <f t="shared" si="0"/>
        <v>27</v>
      </c>
      <c r="G4" s="5">
        <v>45950</v>
      </c>
      <c r="H4" s="5">
        <v>45976</v>
      </c>
      <c r="I4" s="10" t="str">
        <f t="shared" si="1"/>
        <v>✅ CONCLUÍDO</v>
      </c>
      <c r="J4" s="1">
        <f t="shared" ca="1" si="2"/>
        <v>0</v>
      </c>
      <c r="K4" t="s">
        <v>583</v>
      </c>
    </row>
    <row r="5" spans="1:11" ht="14.4" x14ac:dyDescent="0.3">
      <c r="A5" s="6">
        <f>IF(PLANEJAMENTO!A5="","",PLANEJAMENTO!A5)</f>
        <v>47080009</v>
      </c>
      <c r="B5" s="6" t="str">
        <f>IF(PLANEJAMENTO!B5="","",PLANEJAMENTO!B5)</f>
        <v>contel-04</v>
      </c>
      <c r="C5" s="6" t="str">
        <f>IF(PLANEJAMENTO!D5="","",PLANEJAMENTO!D5)</f>
        <v>TIMBÓ</v>
      </c>
      <c r="D5" s="6" t="str">
        <f>IF(PLANEJAMENTO!C5="","",PLANEJAMENTO!C5)</f>
        <v>IHS</v>
      </c>
      <c r="E5" s="1">
        <f>IF(PLANEJAMENTO!G5="","",PLANEJAMENTO!G5)</f>
        <v>1665</v>
      </c>
      <c r="F5">
        <f t="shared" si="0"/>
        <v>53</v>
      </c>
      <c r="G5" s="5">
        <v>45940</v>
      </c>
      <c r="H5" s="5">
        <v>45992</v>
      </c>
      <c r="I5" s="10" t="str">
        <f t="shared" si="1"/>
        <v>✅ CONCLUÍDO</v>
      </c>
      <c r="J5" s="1">
        <f t="shared" ca="1" si="2"/>
        <v>0</v>
      </c>
      <c r="K5" t="s">
        <v>583</v>
      </c>
    </row>
    <row r="6" spans="1:11" ht="14.4" x14ac:dyDescent="0.3">
      <c r="A6" s="6">
        <f>IF(PLANEJAMENTO!A6="","",PLANEJAMENTO!A6)</f>
        <v>38050011</v>
      </c>
      <c r="B6" s="6" t="str">
        <f>IF(PLANEJAMENTO!B6="","",PLANEJAMENTO!B6)</f>
        <v>contel-05</v>
      </c>
      <c r="C6" s="6" t="str">
        <f>IF(PLANEJAMENTO!D6="","",PLANEJAMENTO!D6)</f>
        <v>TRÊS MARIAS</v>
      </c>
      <c r="D6" s="6" t="str">
        <f>IF(PLANEJAMENTO!C6="","",PLANEJAMENTO!C6)</f>
        <v>IHS</v>
      </c>
      <c r="E6" s="1">
        <f>IF(PLANEJAMENTO!G6="","",PLANEJAMENTO!G6)</f>
        <v>1678</v>
      </c>
      <c r="F6">
        <f t="shared" si="0"/>
        <v>123</v>
      </c>
      <c r="G6" s="5">
        <v>45940</v>
      </c>
      <c r="H6" s="5">
        <v>46062</v>
      </c>
      <c r="I6" s="10" t="str">
        <f t="shared" ca="1" si="1"/>
        <v>⏰ ATRASADO</v>
      </c>
      <c r="J6" s="1">
        <f t="shared" ca="1" si="2"/>
        <v>-37</v>
      </c>
    </row>
    <row r="7" spans="1:11" ht="14.4" x14ac:dyDescent="0.3">
      <c r="A7" s="6">
        <f>IF(PLANEJAMENTO!A7="","",PLANEJAMENTO!A7)</f>
        <v>38050012</v>
      </c>
      <c r="B7" s="6" t="str">
        <f>IF(PLANEJAMENTO!B7="","",PLANEJAMENTO!B7)</f>
        <v>contel-06</v>
      </c>
      <c r="C7" s="6" t="str">
        <f>IF(PLANEJAMENTO!D7="","",PLANEJAMENTO!D7)</f>
        <v>TRÊS MARIAS</v>
      </c>
      <c r="D7" s="6" t="str">
        <f>IF(PLANEJAMENTO!C7="","",PLANEJAMENTO!C7)</f>
        <v>IHS</v>
      </c>
      <c r="E7" s="1">
        <f>IF(PLANEJAMENTO!G7="","",PLANEJAMENTO!G7)</f>
        <v>1679</v>
      </c>
      <c r="F7">
        <f t="shared" si="0"/>
        <v>154</v>
      </c>
      <c r="G7" s="5">
        <v>45940</v>
      </c>
      <c r="H7" s="5">
        <v>46093</v>
      </c>
      <c r="I7" s="10" t="str">
        <f t="shared" ca="1" si="1"/>
        <v>⏰ ATRASADO</v>
      </c>
      <c r="J7" s="1">
        <f t="shared" ca="1" si="2"/>
        <v>-6</v>
      </c>
    </row>
    <row r="8" spans="1:11" ht="14.4" x14ac:dyDescent="0.3">
      <c r="A8" s="6">
        <f>IF(PLANEJAMENTO!A8="","",PLANEJAMENTO!A8)</f>
        <v>33050064</v>
      </c>
      <c r="B8" s="6" t="str">
        <f>IF(PLANEJAMENTO!B8="","",PLANEJAMENTO!B8)</f>
        <v>contel-07</v>
      </c>
      <c r="C8" s="6" t="str">
        <f>IF(PLANEJAMENTO!D8="","",PLANEJAMENTO!D8)</f>
        <v>POCRANE</v>
      </c>
      <c r="D8" s="6" t="str">
        <f>IF(PLANEJAMENTO!C8="","",PLANEJAMENTO!C8)</f>
        <v>IHS</v>
      </c>
      <c r="E8" s="1">
        <f>IF(PLANEJAMENTO!G8="","",PLANEJAMENTO!G8)</f>
        <v>1680</v>
      </c>
      <c r="F8">
        <f t="shared" si="0"/>
        <v>99</v>
      </c>
      <c r="G8" s="5">
        <v>45940</v>
      </c>
      <c r="H8" s="5">
        <v>46038</v>
      </c>
      <c r="I8" s="10" t="str">
        <f t="shared" ca="1" si="1"/>
        <v>⏰ ATRASADO</v>
      </c>
      <c r="J8" s="1">
        <f t="shared" ca="1" si="2"/>
        <v>-61</v>
      </c>
    </row>
    <row r="9" spans="1:11" ht="14.4" x14ac:dyDescent="0.3">
      <c r="A9" s="6">
        <f>IF(PLANEJAMENTO!A9="","",PLANEJAMENTO!A9)</f>
        <v>38050013</v>
      </c>
      <c r="B9" s="6" t="str">
        <f>IF(PLANEJAMENTO!B9="","",PLANEJAMENTO!B9)</f>
        <v>contel-08</v>
      </c>
      <c r="C9" s="6" t="str">
        <f>IF(PLANEJAMENTO!D9="","",PLANEJAMENTO!D9)</f>
        <v>SÃO GONÇALO DO ABAETÉ</v>
      </c>
      <c r="D9" s="6" t="str">
        <f>IF(PLANEJAMENTO!C9="","",PLANEJAMENTO!C9)</f>
        <v>IHS</v>
      </c>
      <c r="E9" s="1">
        <f>IF(PLANEJAMENTO!G9="","",PLANEJAMENTO!G9)</f>
        <v>1681</v>
      </c>
      <c r="F9">
        <f t="shared" si="0"/>
        <v>162</v>
      </c>
      <c r="G9" s="5">
        <v>45940</v>
      </c>
      <c r="H9" s="5">
        <v>46101</v>
      </c>
      <c r="I9" s="10" t="str">
        <f ca="1">IF(K9="FINALIZADO","✅ CONCLUÍDO",
   IF(K9="PARALISADO","⚠️ PARALISADO",IF(K9="CANCELADO","🚫CANCELADO",
      IF(J9="","🕓 EM ANDAMENTO",
         IF(J9&lt;0,"⏰ ATRASADO",
            "🕓 EM ANDAMENTO"
         )
      )
   )
))</f>
        <v>🕓 EM ANDAMENTO</v>
      </c>
      <c r="J9" s="1">
        <f t="shared" ca="1" si="2"/>
        <v>2</v>
      </c>
    </row>
    <row r="10" spans="1:11" ht="14.4" x14ac:dyDescent="0.3">
      <c r="A10" s="6">
        <f>IF(PLANEJAMENTO!A10="","",PLANEJAMENTO!A10)</f>
        <v>38050008</v>
      </c>
      <c r="B10" s="6" t="str">
        <f>IF(PLANEJAMENTO!B10="","",PLANEJAMENTO!B10)</f>
        <v>contel-09</v>
      </c>
      <c r="C10" s="6" t="str">
        <f>IF(PLANEJAMENTO!D10="","",PLANEJAMENTO!D10)</f>
        <v>FORMOSO</v>
      </c>
      <c r="D10" s="6" t="str">
        <f>IF(PLANEJAMENTO!C10="","",PLANEJAMENTO!C10)</f>
        <v>IHS</v>
      </c>
      <c r="E10" s="1">
        <f>IF(PLANEJAMENTO!G10="","",PLANEJAMENTO!G10)</f>
        <v>1682</v>
      </c>
      <c r="F10">
        <f t="shared" si="0"/>
        <v>159</v>
      </c>
      <c r="G10" s="5">
        <v>45940</v>
      </c>
      <c r="H10" s="5">
        <v>46098</v>
      </c>
      <c r="I10" s="10" t="str">
        <f t="shared" ca="1" si="1"/>
        <v>⏰ ATRASADO</v>
      </c>
      <c r="J10" s="1">
        <f t="shared" ca="1" si="2"/>
        <v>-1</v>
      </c>
    </row>
    <row r="11" spans="1:11" ht="14.4" x14ac:dyDescent="0.3">
      <c r="A11" s="6">
        <f>IF(PLANEJAMENTO!A11="","",PLANEJAMENTO!A11)</f>
        <v>88050062</v>
      </c>
      <c r="B11" s="6" t="str">
        <f>IF(PLANEJAMENTO!B11="","",PLANEJAMENTO!B11)</f>
        <v>contel-10</v>
      </c>
      <c r="C11" s="6" t="str">
        <f>IF(PLANEJAMENTO!D11="","",PLANEJAMENTO!D11)</f>
        <v>QUIXADÁ</v>
      </c>
      <c r="D11" s="6" t="str">
        <f>IF(PLANEJAMENTO!C11="","",PLANEJAMENTO!C11)</f>
        <v>IHS</v>
      </c>
      <c r="E11" s="1">
        <f>IF(PLANEJAMENTO!G11="","",PLANEJAMENTO!G11)</f>
        <v>1683</v>
      </c>
      <c r="F11">
        <f t="shared" si="0"/>
        <v>85</v>
      </c>
      <c r="G11" s="5">
        <v>45940</v>
      </c>
      <c r="H11" s="5">
        <v>46024</v>
      </c>
      <c r="I11" s="10" t="str">
        <f t="shared" si="1"/>
        <v>✅ CONCLUÍDO</v>
      </c>
      <c r="J11" s="1">
        <f t="shared" ca="1" si="2"/>
        <v>0</v>
      </c>
      <c r="K11" t="s">
        <v>583</v>
      </c>
    </row>
    <row r="12" spans="1:11" ht="14.4" x14ac:dyDescent="0.3">
      <c r="A12" s="6">
        <f>IF(PLANEJAMENTO!A12="","",PLANEJAMENTO!A12)</f>
        <v>88050069</v>
      </c>
      <c r="B12" s="6" t="str">
        <f>IF(PLANEJAMENTO!B12="","",PLANEJAMENTO!B12)</f>
        <v>contel-11</v>
      </c>
      <c r="C12" s="6" t="str">
        <f>IF(PLANEJAMENTO!D12="","",PLANEJAMENTO!D12)</f>
        <v>MALHADA</v>
      </c>
      <c r="D12" s="6" t="str">
        <f>IF(PLANEJAMENTO!C12="","",PLANEJAMENTO!C12)</f>
        <v>IHS</v>
      </c>
      <c r="E12" s="1">
        <f>IF(PLANEJAMENTO!G12="","",PLANEJAMENTO!G12)</f>
        <v>1684</v>
      </c>
      <c r="F12">
        <f t="shared" si="0"/>
        <v>85</v>
      </c>
      <c r="G12" s="5">
        <v>45940</v>
      </c>
      <c r="H12" s="5">
        <v>46024</v>
      </c>
      <c r="I12" s="10" t="str">
        <f t="shared" si="1"/>
        <v>✅ CONCLUÍDO</v>
      </c>
      <c r="J12" s="1">
        <f t="shared" ca="1" si="2"/>
        <v>0</v>
      </c>
      <c r="K12" t="s">
        <v>583</v>
      </c>
    </row>
    <row r="13" spans="1:11" ht="14.4" x14ac:dyDescent="0.3">
      <c r="A13" s="6">
        <f>IF(PLANEJAMENTO!A13="","",PLANEJAMENTO!A13)</f>
        <v>83010085</v>
      </c>
      <c r="B13" s="6" t="str">
        <f>IF(PLANEJAMENTO!B13="","",PLANEJAMENTO!B13)</f>
        <v>contel-12</v>
      </c>
      <c r="C13" s="6" t="str">
        <f>IF(PLANEJAMENTO!D13="","",PLANEJAMENTO!D13)</f>
        <v>BERNARDINO BATISTA</v>
      </c>
      <c r="D13" s="6" t="str">
        <f>IF(PLANEJAMENTO!C13="","",PLANEJAMENTO!C13)</f>
        <v>IHS</v>
      </c>
      <c r="E13" s="1">
        <f>IF(PLANEJAMENTO!G13="","",PLANEJAMENTO!G13)</f>
        <v>1685</v>
      </c>
      <c r="F13">
        <f t="shared" si="0"/>
        <v>159</v>
      </c>
      <c r="G13" s="5">
        <v>45940</v>
      </c>
      <c r="H13" s="5">
        <v>46098</v>
      </c>
      <c r="I13" s="10" t="str">
        <f t="shared" ca="1" si="1"/>
        <v>⏰ ATRASADO</v>
      </c>
      <c r="J13" s="1">
        <f t="shared" ca="1" si="2"/>
        <v>-1</v>
      </c>
    </row>
    <row r="14" spans="1:11" ht="14.4" x14ac:dyDescent="0.3">
      <c r="A14" s="6">
        <f>IF(PLANEJAMENTO!A14="","",PLANEJAMENTO!A14)</f>
        <v>89050013</v>
      </c>
      <c r="B14" s="6" t="str">
        <f>IF(PLANEJAMENTO!B14="","",PLANEJAMENTO!B14)</f>
        <v>contel-13</v>
      </c>
      <c r="C14" s="6" t="str">
        <f>IF(PLANEJAMENTO!D14="","",PLANEJAMENTO!D14)</f>
        <v>LAGOA DO SITIO</v>
      </c>
      <c r="D14" s="6" t="str">
        <f>IF(PLANEJAMENTO!C14="","",PLANEJAMENTO!C14)</f>
        <v>IHS</v>
      </c>
      <c r="E14" s="1">
        <f>IF(PLANEJAMENTO!G14="","",PLANEJAMENTO!G14)</f>
        <v>1686</v>
      </c>
      <c r="F14">
        <f t="shared" si="0"/>
        <v>174</v>
      </c>
      <c r="G14" s="5">
        <v>45940</v>
      </c>
      <c r="H14" s="5">
        <v>46113</v>
      </c>
      <c r="I14" s="10" t="str">
        <f t="shared" ca="1" si="1"/>
        <v>🕓 EM ANDAMENTO</v>
      </c>
      <c r="J14" s="1">
        <f t="shared" ca="1" si="2"/>
        <v>14</v>
      </c>
    </row>
    <row r="15" spans="1:11" ht="14.4" x14ac:dyDescent="0.3">
      <c r="A15" s="6" t="str">
        <f>IF(PLANEJAMENTO!A15="","",PLANEJAMENTO!A15)</f>
        <v>BR55017-A</v>
      </c>
      <c r="B15" s="6" t="str">
        <f>IF(PLANEJAMENTO!B15="","",PLANEJAMENTO!B15)</f>
        <v>contel-14</v>
      </c>
      <c r="C15" s="6" t="str">
        <f>IF(PLANEJAMENTO!D15="","",PLANEJAMENTO!D15)</f>
        <v>MARQUES DE SOUSA</v>
      </c>
      <c r="D15" s="6" t="str">
        <f>IF(PLANEJAMENTO!C15="","",PLANEJAMENTO!C15)</f>
        <v>SBA</v>
      </c>
      <c r="E15" s="1">
        <f>IF(PLANEJAMENTO!G15="","",PLANEJAMENTO!G15)</f>
        <v>1688</v>
      </c>
      <c r="F15" t="str">
        <f t="shared" si="0"/>
        <v/>
      </c>
      <c r="G15" s="5"/>
      <c r="H15" s="5"/>
      <c r="I15" s="10" t="str">
        <f t="shared" si="1"/>
        <v>✅ CONCLUÍDO</v>
      </c>
      <c r="J15" s="1">
        <f t="shared" ca="1" si="2"/>
        <v>0</v>
      </c>
      <c r="K15" t="s">
        <v>583</v>
      </c>
    </row>
    <row r="16" spans="1:11" ht="14.4" x14ac:dyDescent="0.3">
      <c r="A16" s="6" t="str">
        <f>IF(PLANEJAMENTO!A16="","",PLANEJAMENTO!A16)</f>
        <v>BR56393-A</v>
      </c>
      <c r="B16" s="6" t="str">
        <f>IF(PLANEJAMENTO!B16="","",PLANEJAMENTO!B16)</f>
        <v>contel-15</v>
      </c>
      <c r="C16" s="6" t="str">
        <f>IF(PLANEJAMENTO!D16="","",PLANEJAMENTO!D16)</f>
        <v>TUPACIGUARA</v>
      </c>
      <c r="D16" s="6" t="str">
        <f>IF(PLANEJAMENTO!C16="","",PLANEJAMENTO!C16)</f>
        <v>SBA</v>
      </c>
      <c r="E16" s="1">
        <f>IF(PLANEJAMENTO!G16="","",PLANEJAMENTO!G16)</f>
        <v>1689</v>
      </c>
      <c r="F16" t="str">
        <f t="shared" si="0"/>
        <v/>
      </c>
      <c r="G16" s="5"/>
      <c r="H16" s="5"/>
      <c r="I16" s="10" t="str">
        <f t="shared" si="1"/>
        <v>✅ CONCLUÍDO</v>
      </c>
      <c r="J16" s="1">
        <f t="shared" ca="1" si="2"/>
        <v>0</v>
      </c>
      <c r="K16" t="s">
        <v>583</v>
      </c>
    </row>
    <row r="17" spans="1:11" ht="14.4" x14ac:dyDescent="0.3">
      <c r="A17" s="6" t="str">
        <f>IF(PLANEJAMENTO!A17="","",PLANEJAMENTO!A17)</f>
        <v>BR72051-A</v>
      </c>
      <c r="B17" s="6" t="str">
        <f>IF(PLANEJAMENTO!B17="","",PLANEJAMENTO!B17)</f>
        <v>contel-16</v>
      </c>
      <c r="C17" s="6" t="str">
        <f>IF(PLANEJAMENTO!D17="","",PLANEJAMENTO!D17)</f>
        <v>ÁGUA BOA</v>
      </c>
      <c r="D17" s="6" t="str">
        <f>IF(PLANEJAMENTO!C17="","",PLANEJAMENTO!C17)</f>
        <v>SBA</v>
      </c>
      <c r="E17" s="1">
        <f>IF(PLANEJAMENTO!G17="","",PLANEJAMENTO!G17)</f>
        <v>1690</v>
      </c>
      <c r="F17" t="str">
        <f t="shared" si="0"/>
        <v/>
      </c>
      <c r="G17" s="5"/>
      <c r="H17" s="5"/>
      <c r="I17" s="10" t="str">
        <f t="shared" si="1"/>
        <v>✅ CONCLUÍDO</v>
      </c>
      <c r="J17" s="1">
        <f t="shared" ca="1" si="2"/>
        <v>0</v>
      </c>
      <c r="K17" t="s">
        <v>583</v>
      </c>
    </row>
    <row r="18" spans="1:11" ht="14.4" x14ac:dyDescent="0.3">
      <c r="A18" s="6" t="str">
        <f>IF(PLANEJAMENTO!A18="","",PLANEJAMENTO!A18)</f>
        <v>BR72113-A</v>
      </c>
      <c r="B18" s="6" t="str">
        <f>IF(PLANEJAMENTO!B18="","",PLANEJAMENTO!B18)</f>
        <v>contel-17</v>
      </c>
      <c r="C18" s="6" t="str">
        <f>IF(PLANEJAMENTO!D18="","",PLANEJAMENTO!D18)</f>
        <v>UBERLÂNDIA</v>
      </c>
      <c r="D18" s="6" t="str">
        <f>IF(PLANEJAMENTO!C18="","",PLANEJAMENTO!C18)</f>
        <v>SBA</v>
      </c>
      <c r="E18" s="1">
        <f>IF(PLANEJAMENTO!G18="","",PLANEJAMENTO!G18)</f>
        <v>1691</v>
      </c>
      <c r="F18" t="str">
        <f t="shared" si="0"/>
        <v/>
      </c>
      <c r="G18" s="5"/>
      <c r="H18" s="5"/>
      <c r="I18" s="10" t="str">
        <f t="shared" si="1"/>
        <v>✅ CONCLUÍDO</v>
      </c>
      <c r="J18" s="1">
        <f t="shared" ca="1" si="2"/>
        <v>0</v>
      </c>
      <c r="K18" t="s">
        <v>583</v>
      </c>
    </row>
    <row r="19" spans="1:11" ht="14.4" x14ac:dyDescent="0.3">
      <c r="A19" s="6" t="str">
        <f>IF(PLANEJAMENTO!A19="","",PLANEJAMENTO!A19)</f>
        <v>BR80008-A</v>
      </c>
      <c r="B19" s="6" t="str">
        <f>IF(PLANEJAMENTO!B19="","",PLANEJAMENTO!B19)</f>
        <v>contel-18</v>
      </c>
      <c r="C19" s="6" t="str">
        <f>IF(PLANEJAMENTO!D19="","",PLANEJAMENTO!D19)</f>
        <v>ONDA VERDE</v>
      </c>
      <c r="D19" s="6" t="str">
        <f>IF(PLANEJAMENTO!C19="","",PLANEJAMENTO!C19)</f>
        <v>SBA</v>
      </c>
      <c r="E19" s="1">
        <f>IF(PLANEJAMENTO!G19="","",PLANEJAMENTO!G19)</f>
        <v>1692</v>
      </c>
      <c r="F19" t="str">
        <f t="shared" si="0"/>
        <v/>
      </c>
      <c r="G19" s="5"/>
      <c r="H19" s="5"/>
      <c r="I19" s="10" t="str">
        <f t="shared" si="1"/>
        <v>✅ CONCLUÍDO</v>
      </c>
      <c r="J19" s="1">
        <f t="shared" ca="1" si="2"/>
        <v>0</v>
      </c>
      <c r="K19" t="s">
        <v>583</v>
      </c>
    </row>
    <row r="20" spans="1:11" ht="14.4" x14ac:dyDescent="0.3">
      <c r="A20" s="6" t="str">
        <f>IF(PLANEJAMENTO!A20="","",PLANEJAMENTO!A20)</f>
        <v>SPVTR004</v>
      </c>
      <c r="B20" s="6" t="str">
        <f>IF(PLANEJAMENTO!B20="","",PLANEJAMENTO!B20)</f>
        <v>contel-19</v>
      </c>
      <c r="C20" s="6" t="str">
        <f>IF(PLANEJAMENTO!D20="","",PLANEJAMENTO!D20)</f>
        <v>VOTORANTIM</v>
      </c>
      <c r="D20" s="6" t="str">
        <f>IF(PLANEJAMENTO!C20="","",PLANEJAMENTO!C20)</f>
        <v>HLB</v>
      </c>
      <c r="E20" s="1">
        <f>IF(PLANEJAMENTO!G20="","",PLANEJAMENTO!G20)</f>
        <v>1693</v>
      </c>
      <c r="F20">
        <f t="shared" si="0"/>
        <v>84</v>
      </c>
      <c r="G20" s="5">
        <v>45870</v>
      </c>
      <c r="H20" s="5">
        <v>45953</v>
      </c>
      <c r="I20" s="10" t="str">
        <f t="shared" si="1"/>
        <v>✅ CONCLUÍDO</v>
      </c>
      <c r="J20" s="1">
        <f t="shared" ca="1" si="2"/>
        <v>0</v>
      </c>
      <c r="K20" t="s">
        <v>583</v>
      </c>
    </row>
    <row r="21" spans="1:11" ht="14.4" x14ac:dyDescent="0.3">
      <c r="A21" s="6" t="str">
        <f>IF(PLANEJAMENTO!A21="","",PLANEJAMENTO!A21)</f>
        <v>BR88343-R</v>
      </c>
      <c r="B21" s="6" t="str">
        <f>IF(PLANEJAMENTO!B21="","",PLANEJAMENTO!B21)</f>
        <v>contel-20</v>
      </c>
      <c r="C21" s="6" t="str">
        <f>IF(PLANEJAMENTO!D21="","",PLANEJAMENTO!D21)</f>
        <v>GOIÂNIA</v>
      </c>
      <c r="D21" s="6" t="str">
        <f>IF(PLANEJAMENTO!C21="","",PLANEJAMENTO!C21)</f>
        <v>SBA</v>
      </c>
      <c r="E21" s="1">
        <f>IF(PLANEJAMENTO!G21="","",PLANEJAMENTO!G21)</f>
        <v>1699</v>
      </c>
      <c r="F21">
        <f t="shared" si="0"/>
        <v>31</v>
      </c>
      <c r="G21" s="5">
        <v>45965</v>
      </c>
      <c r="H21" s="5">
        <v>45995</v>
      </c>
      <c r="I21" s="10" t="str">
        <f t="shared" si="1"/>
        <v>✅ CONCLUÍDO</v>
      </c>
      <c r="J21" s="1">
        <f t="shared" ca="1" si="2"/>
        <v>0</v>
      </c>
      <c r="K21" t="s">
        <v>583</v>
      </c>
    </row>
    <row r="22" spans="1:11" ht="14.4" x14ac:dyDescent="0.3">
      <c r="A22" s="6" t="str">
        <f>IF(PLANEJAMENTO!A22="","",PLANEJAMENTO!A22)</f>
        <v>SCP-ALY-001</v>
      </c>
      <c r="B22" s="6" t="str">
        <f>IF(PLANEJAMENTO!B22="","",PLANEJAMENTO!B22)</f>
        <v>contel-21</v>
      </c>
      <c r="C22" s="6" t="str">
        <f>IF(PLANEJAMENTO!D22="","",PLANEJAMENTO!D22)</f>
        <v>AGROLÂNDIA</v>
      </c>
      <c r="D22" s="6" t="str">
        <f>IF(PLANEJAMENTO!C22="","",PLANEJAMENTO!C22)</f>
        <v>HLB</v>
      </c>
      <c r="E22" s="1">
        <f>IF(PLANEJAMENTO!G22="","",PLANEJAMENTO!G22)</f>
        <v>1703</v>
      </c>
      <c r="F22">
        <f t="shared" si="0"/>
        <v>66</v>
      </c>
      <c r="G22" s="5">
        <v>45922</v>
      </c>
      <c r="H22" s="5">
        <v>45987</v>
      </c>
      <c r="I22" s="10" t="str">
        <f t="shared" si="1"/>
        <v>✅ CONCLUÍDO</v>
      </c>
      <c r="J22" s="1">
        <f t="shared" ca="1" si="2"/>
        <v>0</v>
      </c>
      <c r="K22" t="s">
        <v>583</v>
      </c>
    </row>
    <row r="23" spans="1:11" ht="14.4" x14ac:dyDescent="0.3">
      <c r="A23" s="6" t="str">
        <f>IF(PLANEJAMENTO!A23="","",PLANEJAMENTO!A23)</f>
        <v>BR56770-A</v>
      </c>
      <c r="B23" s="6" t="str">
        <f>IF(PLANEJAMENTO!B23="","",PLANEJAMENTO!B23)</f>
        <v>contel-22</v>
      </c>
      <c r="C23" s="6" t="str">
        <f>IF(PLANEJAMENTO!D23="","",PLANEJAMENTO!D23)</f>
        <v>MARIPÁ</v>
      </c>
      <c r="D23" s="6" t="str">
        <f>IF(PLANEJAMENTO!C23="","",PLANEJAMENTO!C23)</f>
        <v>SBA</v>
      </c>
      <c r="E23" s="1">
        <f>IF(PLANEJAMENTO!G23="","",PLANEJAMENTO!G23)</f>
        <v>1704</v>
      </c>
      <c r="F23" t="str">
        <f t="shared" si="0"/>
        <v/>
      </c>
      <c r="G23" s="5"/>
      <c r="H23" s="5"/>
      <c r="I23" s="10" t="str">
        <f t="shared" si="1"/>
        <v>✅ CONCLUÍDO</v>
      </c>
      <c r="J23" s="1">
        <f t="shared" ca="1" si="2"/>
        <v>0</v>
      </c>
      <c r="K23" t="s">
        <v>583</v>
      </c>
    </row>
    <row r="24" spans="1:11" ht="14.4" x14ac:dyDescent="0.3">
      <c r="A24" s="6" t="str">
        <f>IF(PLANEJAMENTO!A24="","",PLANEJAMENTO!A24)</f>
        <v>BR67246-A</v>
      </c>
      <c r="B24" s="6" t="str">
        <f>IF(PLANEJAMENTO!B24="","",PLANEJAMENTO!B24)</f>
        <v>contel-23</v>
      </c>
      <c r="C24" s="6" t="str">
        <f>IF(PLANEJAMENTO!D24="","",PLANEJAMENTO!D24)</f>
        <v>SANTO ANTONIO DE JESUS</v>
      </c>
      <c r="D24" s="6" t="str">
        <f>IF(PLANEJAMENTO!C24="","",PLANEJAMENTO!C24)</f>
        <v>SBA</v>
      </c>
      <c r="E24" s="1">
        <f>IF(PLANEJAMENTO!G24="","",PLANEJAMENTO!G24)</f>
        <v>1705</v>
      </c>
      <c r="F24">
        <f t="shared" si="0"/>
        <v>45</v>
      </c>
      <c r="G24" s="5">
        <v>45916</v>
      </c>
      <c r="H24" s="5">
        <v>45960</v>
      </c>
      <c r="I24" s="10" t="str">
        <f t="shared" si="1"/>
        <v>✅ CONCLUÍDO</v>
      </c>
      <c r="J24" s="1">
        <f t="shared" ca="1" si="2"/>
        <v>0</v>
      </c>
      <c r="K24" t="s">
        <v>583</v>
      </c>
    </row>
    <row r="25" spans="1:11" ht="14.4" x14ac:dyDescent="0.3">
      <c r="A25" s="6" t="str">
        <f>IF(PLANEJAMENTO!A25="","",PLANEJAMENTO!A25)</f>
        <v>BR67084-R</v>
      </c>
      <c r="B25" s="6" t="str">
        <f>IF(PLANEJAMENTO!B25="","",PLANEJAMENTO!B25)</f>
        <v>contel-24</v>
      </c>
      <c r="C25" s="6" t="str">
        <f>IF(PLANEJAMENTO!D25="","",PLANEJAMENTO!D25)</f>
        <v>BRASILIA</v>
      </c>
      <c r="D25" s="6" t="str">
        <f>IF(PLANEJAMENTO!C25="","",PLANEJAMENTO!C25)</f>
        <v>SBA</v>
      </c>
      <c r="E25" s="1">
        <f>IF(PLANEJAMENTO!G25="","",PLANEJAMENTO!G25)</f>
        <v>1707</v>
      </c>
      <c r="F25">
        <f t="shared" si="0"/>
        <v>70</v>
      </c>
      <c r="G25" s="5">
        <v>45922</v>
      </c>
      <c r="H25" s="5">
        <v>45991</v>
      </c>
      <c r="I25" s="10" t="str">
        <f t="shared" si="1"/>
        <v>⚠️ PARALISADO</v>
      </c>
      <c r="J25" s="1">
        <f t="shared" ca="1" si="2"/>
        <v>-108</v>
      </c>
      <c r="K25" t="s">
        <v>584</v>
      </c>
    </row>
    <row r="26" spans="1:11" ht="14.4" x14ac:dyDescent="0.3">
      <c r="A26" s="6" t="str">
        <f>IF(PLANEJAMENTO!A26="","",PLANEJAMENTO!A26)</f>
        <v>BR66924-R</v>
      </c>
      <c r="B26" s="6" t="str">
        <f>IF(PLANEJAMENTO!B26="","",PLANEJAMENTO!B26)</f>
        <v>contel-25</v>
      </c>
      <c r="C26" s="6" t="str">
        <f>IF(PLANEJAMENTO!D26="","",PLANEJAMENTO!D26)</f>
        <v>BRASILIA</v>
      </c>
      <c r="D26" s="6" t="str">
        <f>IF(PLANEJAMENTO!C26="","",PLANEJAMENTO!C26)</f>
        <v>SBA</v>
      </c>
      <c r="E26" s="1">
        <f>IF(PLANEJAMENTO!G26="","",PLANEJAMENTO!G26)</f>
        <v>1708</v>
      </c>
      <c r="F26">
        <f t="shared" si="0"/>
        <v>69</v>
      </c>
      <c r="G26" s="5">
        <v>45923</v>
      </c>
      <c r="H26" s="5">
        <v>45991</v>
      </c>
      <c r="I26" s="10" t="str">
        <f t="shared" si="1"/>
        <v>✅ CONCLUÍDO</v>
      </c>
      <c r="J26" s="1">
        <f t="shared" ca="1" si="2"/>
        <v>0</v>
      </c>
      <c r="K26" t="s">
        <v>583</v>
      </c>
    </row>
    <row r="27" spans="1:11" ht="14.4" x14ac:dyDescent="0.3">
      <c r="A27" s="6" t="str">
        <f>IF(PLANEJAMENTO!A27="","",PLANEJAMENTO!A27)</f>
        <v>BR67024-R</v>
      </c>
      <c r="B27" s="6" t="str">
        <f>IF(PLANEJAMENTO!B27="","",PLANEJAMENTO!B27)</f>
        <v>contel-26</v>
      </c>
      <c r="C27" s="6" t="str">
        <f>IF(PLANEJAMENTO!D27="","",PLANEJAMENTO!D27)</f>
        <v>BRASILIA</v>
      </c>
      <c r="D27" s="6" t="str">
        <f>IF(PLANEJAMENTO!C27="","",PLANEJAMENTO!C27)</f>
        <v>SBA</v>
      </c>
      <c r="E27" s="1">
        <f>IF(PLANEJAMENTO!G27="","",PLANEJAMENTO!G27)</f>
        <v>1710</v>
      </c>
      <c r="F27">
        <f t="shared" si="0"/>
        <v>70</v>
      </c>
      <c r="G27" s="5">
        <v>45922</v>
      </c>
      <c r="H27" s="5">
        <v>45991</v>
      </c>
      <c r="I27" s="10" t="str">
        <f t="shared" si="1"/>
        <v>⚠️ PARALISADO</v>
      </c>
      <c r="J27" s="1">
        <f t="shared" ca="1" si="2"/>
        <v>-108</v>
      </c>
      <c r="K27" t="s">
        <v>584</v>
      </c>
    </row>
    <row r="28" spans="1:11" ht="14.4" x14ac:dyDescent="0.3">
      <c r="A28" s="6" t="str">
        <f>IF(PLANEJAMENTO!A28="","",PLANEJAMENTO!A28)</f>
        <v>BR66989-R</v>
      </c>
      <c r="B28" s="6" t="str">
        <f>IF(PLANEJAMENTO!B28="","",PLANEJAMENTO!B28)</f>
        <v>contel-27</v>
      </c>
      <c r="C28" s="6" t="str">
        <f>IF(PLANEJAMENTO!D28="","",PLANEJAMENTO!D28)</f>
        <v>BRASILIA</v>
      </c>
      <c r="D28" s="6" t="str">
        <f>IF(PLANEJAMENTO!C28="","",PLANEJAMENTO!C28)</f>
        <v>SBA</v>
      </c>
      <c r="E28" s="1">
        <f>IF(PLANEJAMENTO!G28="","",PLANEJAMENTO!G28)</f>
        <v>1712</v>
      </c>
      <c r="F28">
        <f t="shared" si="0"/>
        <v>37</v>
      </c>
      <c r="G28" s="5">
        <v>45909</v>
      </c>
      <c r="H28" s="5">
        <v>45945</v>
      </c>
      <c r="I28" s="10" t="str">
        <f t="shared" ca="1" si="1"/>
        <v>⏰ ATRASADO</v>
      </c>
      <c r="J28" s="1">
        <f t="shared" ca="1" si="2"/>
        <v>-154</v>
      </c>
    </row>
    <row r="29" spans="1:11" ht="14.4" x14ac:dyDescent="0.3">
      <c r="A29" s="6" t="str">
        <f>IF(PLANEJAMENTO!A29="","",PLANEJAMENTO!A29)</f>
        <v>BR62939-A</v>
      </c>
      <c r="B29" s="6" t="str">
        <f>IF(PLANEJAMENTO!B29="","",PLANEJAMENTO!B29)</f>
        <v>contel-28</v>
      </c>
      <c r="C29" s="6" t="str">
        <f>IF(PLANEJAMENTO!D29="","",PLANEJAMENTO!D29)</f>
        <v>MANDAGUARI</v>
      </c>
      <c r="D29" s="6" t="str">
        <f>IF(PLANEJAMENTO!C29="","",PLANEJAMENTO!C29)</f>
        <v>SBA</v>
      </c>
      <c r="E29" s="1">
        <f>IF(PLANEJAMENTO!G29="","",PLANEJAMENTO!G29)</f>
        <v>1721</v>
      </c>
      <c r="F29">
        <f t="shared" si="0"/>
        <v>35</v>
      </c>
      <c r="G29" s="5">
        <v>45909</v>
      </c>
      <c r="H29" s="5">
        <v>45943</v>
      </c>
      <c r="I29" s="10" t="str">
        <f t="shared" si="1"/>
        <v>✅ CONCLUÍDO</v>
      </c>
      <c r="J29" s="1">
        <f t="shared" ca="1" si="2"/>
        <v>0</v>
      </c>
      <c r="K29" t="s">
        <v>583</v>
      </c>
    </row>
    <row r="30" spans="1:11" ht="14.4" x14ac:dyDescent="0.3">
      <c r="A30" s="6" t="str">
        <f>IF(PLANEJAMENTO!A30="","",PLANEJAMENTO!A30)</f>
        <v>BR67038-R</v>
      </c>
      <c r="B30" s="6" t="str">
        <f>IF(PLANEJAMENTO!B30="","",PLANEJAMENTO!B30)</f>
        <v>contel-29</v>
      </c>
      <c r="C30" s="6" t="str">
        <f>IF(PLANEJAMENTO!D30="","",PLANEJAMENTO!D30)</f>
        <v>BRASILIA</v>
      </c>
      <c r="D30" s="6" t="str">
        <f>IF(PLANEJAMENTO!C30="","",PLANEJAMENTO!C30)</f>
        <v>SBA</v>
      </c>
      <c r="E30" s="1">
        <f>IF(PLANEJAMENTO!G30="","",PLANEJAMENTO!G30)</f>
        <v>1722</v>
      </c>
      <c r="F30">
        <f t="shared" si="0"/>
        <v>44</v>
      </c>
      <c r="G30" s="5">
        <v>45929</v>
      </c>
      <c r="H30" s="5">
        <v>45972</v>
      </c>
      <c r="I30" s="10" t="str">
        <f t="shared" si="1"/>
        <v>⚠️ PARALISADO</v>
      </c>
      <c r="J30" s="1">
        <f t="shared" ca="1" si="2"/>
        <v>-127</v>
      </c>
      <c r="K30" t="s">
        <v>584</v>
      </c>
    </row>
    <row r="31" spans="1:11" ht="14.4" x14ac:dyDescent="0.3">
      <c r="A31" s="6" t="str">
        <f>IF(PLANEJAMENTO!A31="","",PLANEJAMENTO!A31)</f>
        <v>RSA CONGONHAS</v>
      </c>
      <c r="B31" s="6" t="str">
        <f>IF(PLANEJAMENTO!B31="","",PLANEJAMENTO!B31)</f>
        <v>contel-30</v>
      </c>
      <c r="C31" s="6" t="str">
        <f>IF(PLANEJAMENTO!D31="","",PLANEJAMENTO!D31)</f>
        <v>SÃO PAULO</v>
      </c>
      <c r="D31" s="6" t="str">
        <f>IF(PLANEJAMENTO!C31="","",PLANEJAMENTO!C31)</f>
        <v>RSA</v>
      </c>
      <c r="E31" s="1">
        <f>IF(PLANEJAMENTO!G31="","",PLANEJAMENTO!G31)</f>
        <v>1723</v>
      </c>
      <c r="F31">
        <f t="shared" si="0"/>
        <v>168</v>
      </c>
      <c r="G31" s="5">
        <v>45937</v>
      </c>
      <c r="H31" s="5">
        <v>46104</v>
      </c>
      <c r="I31" s="10" t="str">
        <f t="shared" ca="1" si="1"/>
        <v>🕓 EM ANDAMENTO</v>
      </c>
      <c r="J31" s="1">
        <f t="shared" ca="1" si="2"/>
        <v>5</v>
      </c>
    </row>
    <row r="32" spans="1:11" ht="14.4" x14ac:dyDescent="0.3">
      <c r="A32" s="6" t="str">
        <f>IF(PLANEJAMENTO!A32="","",PLANEJAMENTO!A32)</f>
        <v>PABLM017</v>
      </c>
      <c r="B32" s="6" t="str">
        <f>IF(PLANEJAMENTO!B32="","",PLANEJAMENTO!B32)</f>
        <v>contel-31</v>
      </c>
      <c r="C32" s="6" t="str">
        <f>IF(PLANEJAMENTO!D32="","",PLANEJAMENTO!D32)</f>
        <v>BELÉM</v>
      </c>
      <c r="D32" s="6" t="str">
        <f>IF(PLANEJAMENTO!C32="","",PLANEJAMENTO!C32)</f>
        <v>WINITY</v>
      </c>
      <c r="E32" s="1">
        <f>IF(PLANEJAMENTO!G32="","",PLANEJAMENTO!G32)</f>
        <v>1724</v>
      </c>
      <c r="F32" t="str">
        <f t="shared" si="0"/>
        <v/>
      </c>
      <c r="G32" s="5"/>
      <c r="H32" s="5"/>
      <c r="I32" s="10" t="str">
        <f t="shared" si="1"/>
        <v>✅ CONCLUÍDO</v>
      </c>
      <c r="J32" s="1">
        <f t="shared" ca="1" si="2"/>
        <v>0</v>
      </c>
      <c r="K32" t="s">
        <v>583</v>
      </c>
    </row>
    <row r="33" spans="1:11" ht="14.4" x14ac:dyDescent="0.3">
      <c r="A33" s="6" t="str">
        <f>IF(PLANEJAMENTO!A33="","",PLANEJAMENTO!A33)</f>
        <v>SPO094NP</v>
      </c>
      <c r="B33" s="6" t="str">
        <f>IF(PLANEJAMENTO!B33="","",PLANEJAMENTO!B33)</f>
        <v>contel-32</v>
      </c>
      <c r="C33" s="6" t="str">
        <f>IF(PLANEJAMENTO!D33="","",PLANEJAMENTO!D33)</f>
        <v>OSASCO</v>
      </c>
      <c r="D33" s="6" t="str">
        <f>IF(PLANEJAMENTO!C33="","",PLANEJAMENTO!C33)</f>
        <v>ATC</v>
      </c>
      <c r="E33" s="1">
        <f>IF(PLANEJAMENTO!G33="","",PLANEJAMENTO!G33)</f>
        <v>1726</v>
      </c>
      <c r="F33" t="str">
        <f t="shared" si="0"/>
        <v/>
      </c>
      <c r="G33" s="5"/>
      <c r="H33" s="5"/>
      <c r="I33" s="10" t="str">
        <f t="shared" si="1"/>
        <v>✅ CONCLUÍDO</v>
      </c>
      <c r="J33" s="1">
        <f t="shared" ca="1" si="2"/>
        <v>0</v>
      </c>
      <c r="K33" t="s">
        <v>583</v>
      </c>
    </row>
    <row r="34" spans="1:11" ht="14.4" x14ac:dyDescent="0.3">
      <c r="A34" s="6" t="str">
        <f>IF(PLANEJAMENTO!A34="","",PLANEJAMENTO!A34)</f>
        <v>MTBRX001</v>
      </c>
      <c r="B34" s="6" t="str">
        <f>IF(PLANEJAMENTO!B34="","",PLANEJAMENTO!B34)</f>
        <v>contel-33</v>
      </c>
      <c r="C34" s="6" t="str">
        <f>IF(PLANEJAMENTO!D34="","",PLANEJAMENTO!D34)</f>
        <v>BARRA DO BUGRES</v>
      </c>
      <c r="D34" s="6" t="str">
        <f>IF(PLANEJAMENTO!C34="","",PLANEJAMENTO!C34)</f>
        <v>HLB</v>
      </c>
      <c r="E34" s="1">
        <f>IF(PLANEJAMENTO!G34="","",PLANEJAMENTO!G34)</f>
        <v>1730</v>
      </c>
      <c r="F34">
        <f t="shared" ref="F34:F65" si="3">IF(AND(G34&lt;&gt;"",H34&lt;&gt;""),H34-G34+1,"")</f>
        <v>50</v>
      </c>
      <c r="G34" s="5">
        <v>45944</v>
      </c>
      <c r="H34" s="5">
        <v>45993</v>
      </c>
      <c r="I34" s="10" t="str">
        <f t="shared" ref="I34:I65" si="4">IF(K34="FINALIZADO","✅ CONCLUÍDO",
   IF(K34="PARALISADO","⚠️ PARALISADO",IF(K34="CANCELADO","🚫CANCELADO",
      IF(J34="","🕓 EM ANDAMENTO",
         IF(J34&lt;0,"⏰ ATRASADO",
            "🕓 EM ANDAMENTO"
         )
      )
   )
))</f>
        <v>⚠️ PARALISADO</v>
      </c>
      <c r="J34" s="1">
        <f t="shared" ref="J34:J65" ca="1" si="5">IF(K34="FINALIZADO",0,IF(ISBLANK(H34),"",H34-TODAY()))</f>
        <v>-106</v>
      </c>
      <c r="K34" t="s">
        <v>584</v>
      </c>
    </row>
    <row r="35" spans="1:11" ht="14.4" x14ac:dyDescent="0.3">
      <c r="A35" s="6" t="str">
        <f>IF(PLANEJAMENTO!A35="","",PLANEJAMENTO!A35)</f>
        <v>BR67360-A</v>
      </c>
      <c r="B35" s="6" t="str">
        <f>IF(PLANEJAMENTO!B35="","",PLANEJAMENTO!B35)</f>
        <v>contel-34</v>
      </c>
      <c r="C35" s="6" t="str">
        <f>IF(PLANEJAMENTO!D35="","",PLANEJAMENTO!D35)</f>
        <v>JACOBINA</v>
      </c>
      <c r="D35" s="6" t="str">
        <f>IF(PLANEJAMENTO!C35="","",PLANEJAMENTO!C35)</f>
        <v>SBA</v>
      </c>
      <c r="E35" s="1">
        <f>IF(PLANEJAMENTO!G35="","",PLANEJAMENTO!G35)</f>
        <v>1736</v>
      </c>
      <c r="F35">
        <f t="shared" si="3"/>
        <v>38</v>
      </c>
      <c r="G35" s="5">
        <v>45945</v>
      </c>
      <c r="H35" s="5">
        <v>45982</v>
      </c>
      <c r="I35" s="10" t="str">
        <f t="shared" si="4"/>
        <v>✅ CONCLUÍDO</v>
      </c>
      <c r="J35" s="1">
        <f t="shared" ca="1" si="5"/>
        <v>0</v>
      </c>
      <c r="K35" t="s">
        <v>583</v>
      </c>
    </row>
    <row r="36" spans="1:11" ht="14.4" x14ac:dyDescent="0.3">
      <c r="A36" s="6" t="str">
        <f>IF(PLANEJAMENTO!A36="","",PLANEJAMENTO!A36)</f>
        <v>TABOCA</v>
      </c>
      <c r="B36" s="6" t="str">
        <f>IF(PLANEJAMENTO!B36="","",PLANEJAMENTO!B36)</f>
        <v>contel-35</v>
      </c>
      <c r="C36" s="6" t="str">
        <f>IF(PLANEJAMENTO!D36="","",PLANEJAMENTO!D36)</f>
        <v>PRESIDENTE FIGUEIREDO</v>
      </c>
      <c r="D36" s="6" t="str">
        <f>IF(PLANEJAMENTO!C36="","",PLANEJAMENTO!C36)</f>
        <v>TABOCA</v>
      </c>
      <c r="E36" s="1">
        <f>IF(PLANEJAMENTO!G36="","",PLANEJAMENTO!G36)</f>
        <v>1738</v>
      </c>
      <c r="F36" t="str">
        <f t="shared" si="3"/>
        <v/>
      </c>
      <c r="G36" s="5"/>
      <c r="H36" s="5"/>
      <c r="I36" s="10" t="str">
        <f t="shared" ca="1" si="4"/>
        <v>🕓 EM ANDAMENTO</v>
      </c>
      <c r="J36" s="1" t="str">
        <f t="shared" ca="1" si="5"/>
        <v/>
      </c>
    </row>
    <row r="37" spans="1:11" ht="14.4" x14ac:dyDescent="0.3">
      <c r="A37" s="6" t="str">
        <f>IF(PLANEJAMENTO!A37="","",PLANEJAMENTO!A37)</f>
        <v>BR67041-A</v>
      </c>
      <c r="B37" s="6" t="str">
        <f>IF(PLANEJAMENTO!B37="","",PLANEJAMENTO!B37)</f>
        <v>contel-36</v>
      </c>
      <c r="C37" s="6" t="str">
        <f>IF(PLANEJAMENTO!D37="","",PLANEJAMENTO!D37)</f>
        <v>BRASILIA</v>
      </c>
      <c r="D37" s="6" t="str">
        <f>IF(PLANEJAMENTO!C37="","",PLANEJAMENTO!C37)</f>
        <v>SBA</v>
      </c>
      <c r="E37" s="1">
        <f>IF(PLANEJAMENTO!G37="","",PLANEJAMENTO!G37)</f>
        <v>1740</v>
      </c>
      <c r="F37">
        <f t="shared" si="3"/>
        <v>32</v>
      </c>
      <c r="G37" s="5">
        <v>45950</v>
      </c>
      <c r="H37" s="5">
        <v>45981</v>
      </c>
      <c r="I37" s="10" t="str">
        <f t="shared" si="4"/>
        <v>✅ CONCLUÍDO</v>
      </c>
      <c r="J37" s="1">
        <f t="shared" ca="1" si="5"/>
        <v>0</v>
      </c>
      <c r="K37" t="s">
        <v>583</v>
      </c>
    </row>
    <row r="38" spans="1:11" ht="14.4" x14ac:dyDescent="0.3">
      <c r="A38" s="6" t="str">
        <f>IF(PLANEJAMENTO!A38="","",PLANEJAMENTO!A38)</f>
        <v>PABXX004</v>
      </c>
      <c r="B38" s="6" t="str">
        <f>IF(PLANEJAMENTO!B38="","",PLANEJAMENTO!B38)</f>
        <v>contel-37</v>
      </c>
      <c r="C38" s="6" t="str">
        <f>IF(PLANEJAMENTO!D38="","",PLANEJAMENTO!D38)</f>
        <v>BAIAO</v>
      </c>
      <c r="D38" s="6" t="str">
        <f>IF(PLANEJAMENTO!C38="","",PLANEJAMENTO!C38)</f>
        <v>HLB</v>
      </c>
      <c r="E38" s="1">
        <f>IF(PLANEJAMENTO!G38="","",PLANEJAMENTO!G38)</f>
        <v>1741</v>
      </c>
      <c r="F38" t="str">
        <f t="shared" si="3"/>
        <v/>
      </c>
      <c r="G38" s="5"/>
      <c r="H38" s="5"/>
      <c r="I38" s="10" t="str">
        <f t="shared" si="4"/>
        <v>✅ CONCLUÍDO</v>
      </c>
      <c r="J38" s="1">
        <f t="shared" ca="1" si="5"/>
        <v>0</v>
      </c>
      <c r="K38" t="s">
        <v>583</v>
      </c>
    </row>
    <row r="39" spans="1:11" ht="14.4" x14ac:dyDescent="0.3">
      <c r="A39" s="6" t="str">
        <f>IF(PLANEJAMENTO!A39="","",PLANEJAMENTO!A39)</f>
        <v>ROGVR003</v>
      </c>
      <c r="B39" s="6" t="str">
        <f>IF(PLANEJAMENTO!B39="","",PLANEJAMENTO!B39)</f>
        <v>contel-38</v>
      </c>
      <c r="C39" s="6" t="str">
        <f>IF(PLANEJAMENTO!D39="","",PLANEJAMENTO!D39)</f>
        <v>GOVERNADOR JORGE TEIXEIRA</v>
      </c>
      <c r="D39" s="6" t="str">
        <f>IF(PLANEJAMENTO!C39="","",PLANEJAMENTO!C39)</f>
        <v>HLB</v>
      </c>
      <c r="E39" s="1">
        <f>IF(PLANEJAMENTO!G39="","",PLANEJAMENTO!G39)</f>
        <v>1742</v>
      </c>
      <c r="F39" t="str">
        <f t="shared" si="3"/>
        <v/>
      </c>
      <c r="G39" s="5"/>
      <c r="H39" s="5"/>
      <c r="I39" s="10" t="str">
        <f t="shared" si="4"/>
        <v>✅ CONCLUÍDO</v>
      </c>
      <c r="J39" s="1">
        <f t="shared" ca="1" si="5"/>
        <v>0</v>
      </c>
      <c r="K39" t="s">
        <v>583</v>
      </c>
    </row>
    <row r="40" spans="1:11" ht="14.4" x14ac:dyDescent="0.3">
      <c r="A40" s="6" t="str">
        <f>IF(PLANEJAMENTO!A40="","",PLANEJAMENTO!A40)</f>
        <v>BSA039T1</v>
      </c>
      <c r="B40" s="6" t="str">
        <f>IF(PLANEJAMENTO!B40="","",PLANEJAMENTO!B40)</f>
        <v>contel-39</v>
      </c>
      <c r="C40" s="6" t="str">
        <f>IF(PLANEJAMENTO!D40="","",PLANEJAMENTO!D40)</f>
        <v>BRASILIA</v>
      </c>
      <c r="D40" s="6" t="str">
        <f>IF(PLANEJAMENTO!C40="","",PLANEJAMENTO!C40)</f>
        <v>ATC</v>
      </c>
      <c r="E40" s="1">
        <f>IF(PLANEJAMENTO!G40="","",PLANEJAMENTO!G40)</f>
        <v>1743</v>
      </c>
      <c r="F40" t="str">
        <f t="shared" si="3"/>
        <v/>
      </c>
      <c r="G40" s="5"/>
      <c r="H40" s="5"/>
      <c r="I40" s="10" t="str">
        <f t="shared" si="4"/>
        <v>✅ CONCLUÍDO</v>
      </c>
      <c r="J40" s="1">
        <f t="shared" ca="1" si="5"/>
        <v>0</v>
      </c>
      <c r="K40" t="s">
        <v>583</v>
      </c>
    </row>
    <row r="41" spans="1:11" ht="14.4" x14ac:dyDescent="0.3">
      <c r="A41" s="6" t="str">
        <f>IF(PLANEJAMENTO!A41="","",PLANEJAMENTO!A41)</f>
        <v>BR88222-A</v>
      </c>
      <c r="B41" s="6" t="str">
        <f>IF(PLANEJAMENTO!B41="","",PLANEJAMENTO!B41)</f>
        <v>contel-40</v>
      </c>
      <c r="C41" s="6" t="str">
        <f>IF(PLANEJAMENTO!D41="","",PLANEJAMENTO!D41)</f>
        <v>MANAUS</v>
      </c>
      <c r="D41" s="6" t="str">
        <f>IF(PLANEJAMENTO!C41="","",PLANEJAMENTO!C41)</f>
        <v>SBA</v>
      </c>
      <c r="E41" s="1">
        <f>IF(PLANEJAMENTO!G41="","",PLANEJAMENTO!G41)</f>
        <v>1744</v>
      </c>
      <c r="F41">
        <f t="shared" si="3"/>
        <v>41</v>
      </c>
      <c r="G41" s="5">
        <v>45952</v>
      </c>
      <c r="H41" s="5">
        <v>45992</v>
      </c>
      <c r="I41" s="10" t="str">
        <f t="shared" si="4"/>
        <v>✅ CONCLUÍDO</v>
      </c>
      <c r="J41" s="1">
        <f t="shared" ca="1" si="5"/>
        <v>0</v>
      </c>
      <c r="K41" t="s">
        <v>583</v>
      </c>
    </row>
    <row r="42" spans="1:11" ht="14.4" x14ac:dyDescent="0.3">
      <c r="A42" s="6" t="str">
        <f>IF(PLANEJAMENTO!A42="","",PLANEJAMENTO!A42)</f>
        <v>TNSIMMU0001</v>
      </c>
      <c r="B42" s="6" t="str">
        <f>IF(PLANEJAMENTO!B42="","",PLANEJAMENTO!B42)</f>
        <v>contel-41</v>
      </c>
      <c r="C42" s="6" t="str">
        <f>IF(PLANEJAMENTO!D42="","",PLANEJAMENTO!D42)</f>
        <v>MOMBUCA</v>
      </c>
      <c r="D42" s="6" t="str">
        <f>IF(PLANEJAMENTO!C42="","",PLANEJAMENTO!C42)</f>
        <v>TBSA</v>
      </c>
      <c r="E42" s="1">
        <f>IF(PLANEJAMENTO!G42="","",PLANEJAMENTO!G42)</f>
        <v>1745</v>
      </c>
      <c r="F42">
        <f t="shared" si="3"/>
        <v>10</v>
      </c>
      <c r="G42" s="5">
        <v>45965</v>
      </c>
      <c r="H42" s="5">
        <v>45974</v>
      </c>
      <c r="I42" s="10" t="str">
        <f t="shared" si="4"/>
        <v>✅ CONCLUÍDO</v>
      </c>
      <c r="J42" s="1">
        <f t="shared" ca="1" si="5"/>
        <v>0</v>
      </c>
      <c r="K42" t="s">
        <v>583</v>
      </c>
    </row>
    <row r="43" spans="1:11" ht="14.4" x14ac:dyDescent="0.3">
      <c r="A43" s="6" t="str">
        <f>IF(PLANEJAMENTO!A43="","",PLANEJAMENTO!A43)</f>
        <v>BR75987-A</v>
      </c>
      <c r="B43" s="6" t="str">
        <f>IF(PLANEJAMENTO!B43="","",PLANEJAMENTO!B43)</f>
        <v>contel-42</v>
      </c>
      <c r="C43" s="6" t="str">
        <f>IF(PLANEJAMENTO!D43="","",PLANEJAMENTO!D43)</f>
        <v>LOUVEIRA</v>
      </c>
      <c r="D43" s="6" t="str">
        <f>IF(PLANEJAMENTO!C43="","",PLANEJAMENTO!C43)</f>
        <v>SBA</v>
      </c>
      <c r="E43" s="1">
        <f>IF(PLANEJAMENTO!G43="","",PLANEJAMENTO!G43)</f>
        <v>1749</v>
      </c>
      <c r="F43">
        <f t="shared" si="3"/>
        <v>45</v>
      </c>
      <c r="G43" s="5">
        <v>45965</v>
      </c>
      <c r="H43" s="5">
        <v>46009</v>
      </c>
      <c r="I43" s="10" t="str">
        <f t="shared" si="4"/>
        <v>✅ CONCLUÍDO</v>
      </c>
      <c r="J43" s="1">
        <f t="shared" ca="1" si="5"/>
        <v>0</v>
      </c>
      <c r="K43" t="s">
        <v>583</v>
      </c>
    </row>
    <row r="44" spans="1:11" ht="14.4" x14ac:dyDescent="0.3">
      <c r="A44" s="6" t="str">
        <f>IF(PLANEJAMENTO!A44="","",PLANEJAMENTO!A44)</f>
        <v>BR67096-R</v>
      </c>
      <c r="B44" s="6" t="str">
        <f>IF(PLANEJAMENTO!B44="","",PLANEJAMENTO!B44)</f>
        <v>contel-43</v>
      </c>
      <c r="C44" s="6" t="str">
        <f>IF(PLANEJAMENTO!D44="","",PLANEJAMENTO!D44)</f>
        <v>BRASILIA</v>
      </c>
      <c r="D44" s="6" t="str">
        <f>IF(PLANEJAMENTO!C44="","",PLANEJAMENTO!C44)</f>
        <v>SBA</v>
      </c>
      <c r="E44" s="1">
        <f>IF(PLANEJAMENTO!G44="","",PLANEJAMENTO!G44)</f>
        <v>1750</v>
      </c>
      <c r="F44">
        <f t="shared" si="3"/>
        <v>32</v>
      </c>
      <c r="G44" s="5">
        <v>46027</v>
      </c>
      <c r="H44" s="5">
        <v>46058</v>
      </c>
      <c r="I44" s="10" t="str">
        <f t="shared" si="4"/>
        <v>✅ CONCLUÍDO</v>
      </c>
      <c r="J44" s="1">
        <f t="shared" ca="1" si="5"/>
        <v>0</v>
      </c>
      <c r="K44" t="s">
        <v>583</v>
      </c>
    </row>
    <row r="45" spans="1:11" ht="14.4" x14ac:dyDescent="0.3">
      <c r="A45" s="6" t="str">
        <f>IF(PLANEJAMENTO!A45="","",PLANEJAMENTO!A45)</f>
        <v>BR66977-R</v>
      </c>
      <c r="B45" s="6" t="str">
        <f>IF(PLANEJAMENTO!B45="","",PLANEJAMENTO!B45)</f>
        <v>contel-44</v>
      </c>
      <c r="C45" s="6" t="str">
        <f>IF(PLANEJAMENTO!D45="","",PLANEJAMENTO!D45)</f>
        <v xml:space="preserve"> BRASILIA</v>
      </c>
      <c r="D45" s="6" t="str">
        <f>IF(PLANEJAMENTO!C45="","",PLANEJAMENTO!C45)</f>
        <v>SBA</v>
      </c>
      <c r="E45" s="1">
        <f>IF(PLANEJAMENTO!G45="","",PLANEJAMENTO!G45)</f>
        <v>1751</v>
      </c>
      <c r="F45" t="str">
        <f t="shared" si="3"/>
        <v/>
      </c>
      <c r="G45" s="5"/>
      <c r="H45" s="5"/>
      <c r="I45" s="10" t="str">
        <f t="shared" si="4"/>
        <v>✅ CONCLUÍDO</v>
      </c>
      <c r="J45" s="1">
        <f t="shared" ca="1" si="5"/>
        <v>0</v>
      </c>
      <c r="K45" t="s">
        <v>583</v>
      </c>
    </row>
    <row r="46" spans="1:11" ht="14.4" x14ac:dyDescent="0.3">
      <c r="A46" s="6" t="str">
        <f>IF(PLANEJAMENTO!A46="","",PLANEJAMENTO!A46)</f>
        <v>DFBSBBV010-K2</v>
      </c>
      <c r="B46" s="6" t="str">
        <f>IF(PLANEJAMENTO!B46="","",PLANEJAMENTO!B46)</f>
        <v>contel-45</v>
      </c>
      <c r="C46" s="6" t="str">
        <f>IF(PLANEJAMENTO!D46="","",PLANEJAMENTO!D46)</f>
        <v>BRASILIA</v>
      </c>
      <c r="D46" s="6" t="str">
        <f>IF(PLANEJAMENTO!C46="","",PLANEJAMENTO!C46)</f>
        <v>HLB</v>
      </c>
      <c r="E46" s="1">
        <f>IF(PLANEJAMENTO!G46="","",PLANEJAMENTO!G46)</f>
        <v>1752</v>
      </c>
      <c r="F46">
        <f t="shared" si="3"/>
        <v>31</v>
      </c>
      <c r="G46" s="5">
        <v>45959</v>
      </c>
      <c r="H46" s="5">
        <v>45989</v>
      </c>
      <c r="I46" s="10" t="str">
        <f t="shared" si="4"/>
        <v>✅ CONCLUÍDO</v>
      </c>
      <c r="J46" s="1">
        <f t="shared" ca="1" si="5"/>
        <v>0</v>
      </c>
      <c r="K46" t="s">
        <v>583</v>
      </c>
    </row>
    <row r="47" spans="1:11" ht="14.4" x14ac:dyDescent="0.3">
      <c r="A47" s="6" t="str">
        <f>IF(PLANEJAMENTO!A47="","",PLANEJAMENTO!A47)</f>
        <v>BR73340-R</v>
      </c>
      <c r="B47" s="6" t="str">
        <f>IF(PLANEJAMENTO!B47="","",PLANEJAMENTO!B47)</f>
        <v>contel-46</v>
      </c>
      <c r="C47" s="6" t="str">
        <f>IF(PLANEJAMENTO!D47="","",PLANEJAMENTO!D47)</f>
        <v>JUIZ DE FORA</v>
      </c>
      <c r="D47" s="6" t="str">
        <f>IF(PLANEJAMENTO!C47="","",PLANEJAMENTO!C47)</f>
        <v>SBA</v>
      </c>
      <c r="E47" s="1">
        <f>IF(PLANEJAMENTO!G47="","",PLANEJAMENTO!G47)</f>
        <v>1754</v>
      </c>
      <c r="F47">
        <f t="shared" si="3"/>
        <v>36</v>
      </c>
      <c r="G47" s="5">
        <v>45973</v>
      </c>
      <c r="H47" s="5">
        <v>46008</v>
      </c>
      <c r="I47" s="10" t="str">
        <f t="shared" si="4"/>
        <v>✅ CONCLUÍDO</v>
      </c>
      <c r="J47" s="1">
        <f t="shared" ca="1" si="5"/>
        <v>0</v>
      </c>
      <c r="K47" t="s">
        <v>583</v>
      </c>
    </row>
    <row r="48" spans="1:11" ht="14.4" x14ac:dyDescent="0.3">
      <c r="A48" s="6" t="str">
        <f>IF(PLANEJAMENTO!A48="","",PLANEJAMENTO!A48)</f>
        <v>BR72119-A</v>
      </c>
      <c r="B48" s="6" t="str">
        <f>IF(PLANEJAMENTO!B48="","",PLANEJAMENTO!B48)</f>
        <v>contel-47</v>
      </c>
      <c r="C48" s="6" t="str">
        <f>IF(PLANEJAMENTO!D48="","",PLANEJAMENTO!D48)</f>
        <v>ITUIUTUBA</v>
      </c>
      <c r="D48" s="6" t="str">
        <f>IF(PLANEJAMENTO!C48="","",PLANEJAMENTO!C48)</f>
        <v>SBA</v>
      </c>
      <c r="E48" s="1">
        <f>IF(PLANEJAMENTO!G48="","",PLANEJAMENTO!G48)</f>
        <v>1755</v>
      </c>
      <c r="F48">
        <f t="shared" si="3"/>
        <v>32</v>
      </c>
      <c r="G48" s="5">
        <v>45971</v>
      </c>
      <c r="H48" s="5">
        <v>46002</v>
      </c>
      <c r="I48" s="10" t="str">
        <f t="shared" si="4"/>
        <v>✅ CONCLUÍDO</v>
      </c>
      <c r="J48" s="1">
        <f t="shared" ca="1" si="5"/>
        <v>0</v>
      </c>
      <c r="K48" t="s">
        <v>583</v>
      </c>
    </row>
    <row r="49" spans="1:11" ht="14.4" x14ac:dyDescent="0.3">
      <c r="A49" s="6" t="str">
        <f>IF(PLANEJAMENTO!A49="","",PLANEJAMENTO!A49)</f>
        <v>BR63311-A</v>
      </c>
      <c r="B49" s="6" t="str">
        <f>IF(PLANEJAMENTO!B49="","",PLANEJAMENTO!B49)</f>
        <v>contel-48</v>
      </c>
      <c r="C49" s="6" t="str">
        <f>IF(PLANEJAMENTO!D49="","",PLANEJAMENTO!D49)</f>
        <v>VIAMÃO</v>
      </c>
      <c r="D49" s="6" t="str">
        <f>IF(PLANEJAMENTO!C49="","",PLANEJAMENTO!C49)</f>
        <v>SBA</v>
      </c>
      <c r="E49" s="1">
        <f>IF(PLANEJAMENTO!G49="","",PLANEJAMENTO!G49)</f>
        <v>1756</v>
      </c>
      <c r="F49">
        <f t="shared" si="3"/>
        <v>35</v>
      </c>
      <c r="G49" s="5">
        <v>45972</v>
      </c>
      <c r="H49" s="5">
        <v>46006</v>
      </c>
      <c r="I49" s="10" t="str">
        <f t="shared" si="4"/>
        <v>✅ CONCLUÍDO</v>
      </c>
      <c r="J49" s="1">
        <f t="shared" ca="1" si="5"/>
        <v>0</v>
      </c>
      <c r="K49" t="s">
        <v>583</v>
      </c>
    </row>
    <row r="50" spans="1:11" ht="14.4" x14ac:dyDescent="0.3">
      <c r="A50" s="6" t="str">
        <f>IF(PLANEJAMENTO!A50="","",PLANEJAMENTO!A50)</f>
        <v>BR87661-R</v>
      </c>
      <c r="B50" s="6" t="str">
        <f>IF(PLANEJAMENTO!B50="","",PLANEJAMENTO!B50)</f>
        <v>contel-49</v>
      </c>
      <c r="C50" s="6" t="str">
        <f>IF(PLANEJAMENTO!D50="","",PLANEJAMENTO!D50)</f>
        <v>GOIÂNIA</v>
      </c>
      <c r="D50" s="6" t="str">
        <f>IF(PLANEJAMENTO!C50="","",PLANEJAMENTO!C50)</f>
        <v>SBA</v>
      </c>
      <c r="E50" s="1">
        <f>IF(PLANEJAMENTO!G50="","",PLANEJAMENTO!G50)</f>
        <v>1785</v>
      </c>
      <c r="F50">
        <f t="shared" si="3"/>
        <v>31</v>
      </c>
      <c r="G50" s="5">
        <v>45958</v>
      </c>
      <c r="H50" s="5">
        <v>45988</v>
      </c>
      <c r="I50" s="10" t="str">
        <f t="shared" si="4"/>
        <v>✅ CONCLUÍDO</v>
      </c>
      <c r="J50" s="1">
        <f t="shared" ca="1" si="5"/>
        <v>0</v>
      </c>
      <c r="K50" t="s">
        <v>583</v>
      </c>
    </row>
    <row r="51" spans="1:11" ht="14.4" x14ac:dyDescent="0.3">
      <c r="A51" s="6" t="str">
        <f>IF(PLANEJAMENTO!A51="","",PLANEJAMENTO!A51)</f>
        <v>BR56365-A</v>
      </c>
      <c r="B51" s="6" t="str">
        <f>IF(PLANEJAMENTO!B51="","",PLANEJAMENTO!B51)</f>
        <v>contel-50</v>
      </c>
      <c r="C51" s="6" t="str">
        <f>IF(PLANEJAMENTO!D51="","",PLANEJAMENTO!D51)</f>
        <v>URBERLÂNDIA</v>
      </c>
      <c r="D51" s="6" t="str">
        <f>IF(PLANEJAMENTO!C51="","",PLANEJAMENTO!C51)</f>
        <v>SBA</v>
      </c>
      <c r="E51" s="1">
        <f>IF(PLANEJAMENTO!G51="","",PLANEJAMENTO!G51)</f>
        <v>1788</v>
      </c>
      <c r="F51">
        <f t="shared" si="3"/>
        <v>24</v>
      </c>
      <c r="G51" s="5">
        <v>45978</v>
      </c>
      <c r="H51" s="5">
        <v>46001</v>
      </c>
      <c r="I51" s="10" t="str">
        <f t="shared" si="4"/>
        <v>✅ CONCLUÍDO</v>
      </c>
      <c r="J51" s="1">
        <f t="shared" ca="1" si="5"/>
        <v>0</v>
      </c>
      <c r="K51" t="s">
        <v>583</v>
      </c>
    </row>
    <row r="52" spans="1:11" ht="14.4" x14ac:dyDescent="0.3">
      <c r="A52" s="6" t="str">
        <f>IF(PLANEJAMENTO!A52="","",PLANEJAMENTO!A52)</f>
        <v>BR88708-A</v>
      </c>
      <c r="B52" s="6" t="str">
        <f>IF(PLANEJAMENTO!B52="","",PLANEJAMENTO!B52)</f>
        <v>contel-51</v>
      </c>
      <c r="C52" s="6" t="str">
        <f>IF(PLANEJAMENTO!D52="","",PLANEJAMENTO!D52)</f>
        <v>BELÉM</v>
      </c>
      <c r="D52" s="6" t="str">
        <f>IF(PLANEJAMENTO!C52="","",PLANEJAMENTO!C52)</f>
        <v>SBA</v>
      </c>
      <c r="E52" s="1">
        <f>IF(PLANEJAMENTO!G52="","",PLANEJAMENTO!G52)</f>
        <v>1791</v>
      </c>
      <c r="F52">
        <f t="shared" si="3"/>
        <v>61</v>
      </c>
      <c r="G52" s="5">
        <v>45980</v>
      </c>
      <c r="H52" s="5">
        <v>46040</v>
      </c>
      <c r="I52" s="10" t="str">
        <f t="shared" ca="1" si="4"/>
        <v>⏰ ATRASADO</v>
      </c>
      <c r="J52" s="1">
        <f t="shared" ca="1" si="5"/>
        <v>-59</v>
      </c>
    </row>
    <row r="53" spans="1:11" ht="14.4" x14ac:dyDescent="0.3">
      <c r="A53" s="6" t="str">
        <f>IF(PLANEJAMENTO!A53="","",PLANEJAMENTO!A53)</f>
        <v>BSA045B1</v>
      </c>
      <c r="B53" s="6" t="str">
        <f>IF(PLANEJAMENTO!B53="","",PLANEJAMENTO!B53)</f>
        <v>contel-52</v>
      </c>
      <c r="C53" s="6" t="str">
        <f>IF(PLANEJAMENTO!D53="","",PLANEJAMENTO!D53)</f>
        <v>BRASILIA</v>
      </c>
      <c r="D53" s="6" t="str">
        <f>IF(PLANEJAMENTO!C53="","",PLANEJAMENTO!C53)</f>
        <v>ATC</v>
      </c>
      <c r="E53" s="1">
        <f>IF(PLANEJAMENTO!G53="","",PLANEJAMENTO!G53)</f>
        <v>1793</v>
      </c>
      <c r="F53" t="str">
        <f t="shared" si="3"/>
        <v/>
      </c>
      <c r="G53" s="5"/>
      <c r="H53" s="5"/>
      <c r="I53" s="10" t="str">
        <f t="shared" si="4"/>
        <v>✅ CONCLUÍDO</v>
      </c>
      <c r="J53" s="1">
        <f t="shared" ca="1" si="5"/>
        <v>0</v>
      </c>
      <c r="K53" t="s">
        <v>583</v>
      </c>
    </row>
    <row r="54" spans="1:11" ht="14.4" x14ac:dyDescent="0.3">
      <c r="A54" s="6" t="str">
        <f>IF(PLANEJAMENTO!A54="","",PLANEJAMENTO!A54)</f>
        <v>BR63121-A</v>
      </c>
      <c r="B54" s="6" t="str">
        <f>IF(PLANEJAMENTO!B54="","",PLANEJAMENTO!B54)</f>
        <v>contel-53</v>
      </c>
      <c r="C54" s="6" t="str">
        <f>IF(PLANEJAMENTO!D54="","",PLANEJAMENTO!D54)</f>
        <v>CAAPIRANGA</v>
      </c>
      <c r="D54" s="6" t="str">
        <f>IF(PLANEJAMENTO!C54="","",PLANEJAMENTO!C54)</f>
        <v>SBA</v>
      </c>
      <c r="E54" s="1">
        <f>IF(PLANEJAMENTO!G54="","",PLANEJAMENTO!G54)</f>
        <v>1794</v>
      </c>
      <c r="F54">
        <f t="shared" si="3"/>
        <v>61</v>
      </c>
      <c r="G54" s="5">
        <v>45987</v>
      </c>
      <c r="H54" s="5">
        <v>46047</v>
      </c>
      <c r="I54" s="10" t="str">
        <f t="shared" ca="1" si="4"/>
        <v>⏰ ATRASADO</v>
      </c>
      <c r="J54" s="1">
        <f t="shared" ca="1" si="5"/>
        <v>-52</v>
      </c>
    </row>
    <row r="55" spans="1:11" ht="14.4" x14ac:dyDescent="0.3">
      <c r="A55" s="6">
        <f>IF(PLANEJAMENTO!A55="","",PLANEJAMENTO!A55)</f>
        <v>38010003</v>
      </c>
      <c r="B55" s="6" t="str">
        <f>IF(PLANEJAMENTO!B55="","",PLANEJAMENTO!B55)</f>
        <v>contel-54</v>
      </c>
      <c r="C55" s="6" t="str">
        <f>IF(PLANEJAMENTO!D55="","",PLANEJAMENTO!D55)</f>
        <v>MONTES CLAROS</v>
      </c>
      <c r="D55" s="6" t="str">
        <f>IF(PLANEJAMENTO!C55="","",PLANEJAMENTO!C55)</f>
        <v>IHS</v>
      </c>
      <c r="E55" s="1">
        <f>IF(PLANEJAMENTO!G55="","",PLANEJAMENTO!G55)</f>
        <v>1796</v>
      </c>
      <c r="F55">
        <f t="shared" si="3"/>
        <v>88</v>
      </c>
      <c r="G55" s="5">
        <v>45989</v>
      </c>
      <c r="H55" s="5">
        <v>46076</v>
      </c>
      <c r="I55" s="10" t="str">
        <f t="shared" ca="1" si="4"/>
        <v>⏰ ATRASADO</v>
      </c>
      <c r="J55" s="1">
        <f t="shared" ca="1" si="5"/>
        <v>-23</v>
      </c>
    </row>
    <row r="56" spans="1:11" ht="14.4" x14ac:dyDescent="0.3">
      <c r="A56" s="6" t="str">
        <f>IF(PLANEJAMENTO!A56="","",PLANEJAMENTO!A56)</f>
        <v>TORRE RECORD</v>
      </c>
      <c r="B56" s="6" t="str">
        <f>IF(PLANEJAMENTO!B56="","",PLANEJAMENTO!B56)</f>
        <v>contel-55</v>
      </c>
      <c r="C56" s="6" t="str">
        <f>IF(PLANEJAMENTO!D56="","",PLANEJAMENTO!D56)</f>
        <v>CAMPO GRANDE</v>
      </c>
      <c r="D56" s="6" t="str">
        <f>IF(PLANEJAMENTO!C56="","",PLANEJAMENTO!C56)</f>
        <v>RECORD</v>
      </c>
      <c r="E56" s="1">
        <f>IF(PLANEJAMENTO!G56="","",PLANEJAMENTO!G56)</f>
        <v>1799</v>
      </c>
      <c r="F56">
        <f t="shared" si="3"/>
        <v>5</v>
      </c>
      <c r="G56" s="5">
        <v>45992</v>
      </c>
      <c r="H56" s="5">
        <v>45996</v>
      </c>
      <c r="I56" s="10" t="str">
        <f t="shared" si="4"/>
        <v>✅ CONCLUÍDO</v>
      </c>
      <c r="J56" s="1">
        <f t="shared" ca="1" si="5"/>
        <v>0</v>
      </c>
      <c r="K56" t="s">
        <v>583</v>
      </c>
    </row>
    <row r="57" spans="1:11" ht="14.4" x14ac:dyDescent="0.3">
      <c r="A57" s="6" t="str">
        <f>IF(PLANEJAMENTO!A57="","",PLANEJAMENTO!A57)</f>
        <v>MABCY001</v>
      </c>
      <c r="B57" s="6" t="str">
        <f>IF(PLANEJAMENTO!B57="","",PLANEJAMENTO!B57)</f>
        <v>contel-56</v>
      </c>
      <c r="C57" s="6" t="str">
        <f>IF(PLANEJAMENTO!D57="","",PLANEJAMENTO!D57)</f>
        <v>BACURITUBA</v>
      </c>
      <c r="D57" s="6" t="str">
        <f>IF(PLANEJAMENTO!C57="","",PLANEJAMENTO!C57)</f>
        <v>HLB</v>
      </c>
      <c r="E57" s="1">
        <f>IF(PLANEJAMENTO!G57="","",PLANEJAMENTO!G57)</f>
        <v>1803</v>
      </c>
      <c r="F57">
        <f t="shared" si="3"/>
        <v>61</v>
      </c>
      <c r="G57" s="5">
        <v>45993</v>
      </c>
      <c r="H57" s="5">
        <v>46053</v>
      </c>
      <c r="I57" s="10" t="str">
        <f t="shared" si="4"/>
        <v>✅ CONCLUÍDO</v>
      </c>
      <c r="J57" s="1">
        <f t="shared" ca="1" si="5"/>
        <v>0</v>
      </c>
      <c r="K57" t="s">
        <v>583</v>
      </c>
    </row>
    <row r="58" spans="1:11" ht="14.4" x14ac:dyDescent="0.3">
      <c r="A58" s="6" t="str">
        <f>IF(PLANEJAMENTO!A58="","",PLANEJAMENTO!A58)</f>
        <v>PARMX006</v>
      </c>
      <c r="B58" s="6" t="str">
        <f>IF(PLANEJAMENTO!B58="","",PLANEJAMENTO!B58)</f>
        <v>contel-57</v>
      </c>
      <c r="C58" s="6" t="str">
        <f>IF(PLANEJAMENTO!D58="","",PLANEJAMENTO!D58)</f>
        <v>SANTAREM</v>
      </c>
      <c r="D58" s="6" t="str">
        <f>IF(PLANEJAMENTO!C58="","",PLANEJAMENTO!C58)</f>
        <v>HLB</v>
      </c>
      <c r="E58" s="1">
        <f>IF(PLANEJAMENTO!G58="","",PLANEJAMENTO!G58)</f>
        <v>1804</v>
      </c>
      <c r="F58">
        <f t="shared" si="3"/>
        <v>61</v>
      </c>
      <c r="G58" s="5">
        <v>45993</v>
      </c>
      <c r="H58" s="5">
        <v>46053</v>
      </c>
      <c r="I58" s="10" t="str">
        <f t="shared" ca="1" si="4"/>
        <v>⏰ ATRASADO</v>
      </c>
      <c r="J58" s="1">
        <f t="shared" ca="1" si="5"/>
        <v>-46</v>
      </c>
    </row>
    <row r="59" spans="1:11" ht="14.4" x14ac:dyDescent="0.3">
      <c r="A59" s="6" t="str">
        <f>IF(PLANEJAMENTO!A59="","",PLANEJAMENTO!A59)</f>
        <v>MAVNX001</v>
      </c>
      <c r="B59" s="6" t="str">
        <f>IF(PLANEJAMENTO!B59="","",PLANEJAMENTO!B59)</f>
        <v>contel-58</v>
      </c>
      <c r="C59" s="6" t="str">
        <f>IF(PLANEJAMENTO!D59="","",PLANEJAMENTO!D59)</f>
        <v>VIANA</v>
      </c>
      <c r="D59" s="6" t="str">
        <f>IF(PLANEJAMENTO!C59="","",PLANEJAMENTO!C59)</f>
        <v>HLB</v>
      </c>
      <c r="E59" s="1">
        <f>IF(PLANEJAMENTO!G59="","",PLANEJAMENTO!G59)</f>
        <v>1802</v>
      </c>
      <c r="F59">
        <f t="shared" si="3"/>
        <v>61</v>
      </c>
      <c r="G59" s="5">
        <v>45993</v>
      </c>
      <c r="H59" s="5">
        <v>46053</v>
      </c>
      <c r="I59" s="10" t="str">
        <f t="shared" si="4"/>
        <v>✅ CONCLUÍDO</v>
      </c>
      <c r="J59" s="1">
        <f t="shared" ca="1" si="5"/>
        <v>0</v>
      </c>
      <c r="K59" t="s">
        <v>583</v>
      </c>
    </row>
    <row r="60" spans="1:11" ht="14.4" x14ac:dyDescent="0.3">
      <c r="A60" s="6" t="str">
        <f>IF(PLANEJAMENTO!A60="","",PLANEJAMENTO!A60)</f>
        <v>TNSMOSA002</v>
      </c>
      <c r="B60" s="6" t="str">
        <f>IF(PLANEJAMENTO!B60="","",PLANEJAMENTO!B60)</f>
        <v>contel-59</v>
      </c>
      <c r="C60" s="6" t="str">
        <f>IF(PLANEJAMENTO!D60="","",PLANEJAMENTO!D60)</f>
        <v>OSASCO</v>
      </c>
      <c r="D60" s="6" t="str">
        <f>IF(PLANEJAMENTO!C60="","",PLANEJAMENTO!C60)</f>
        <v>TBSA</v>
      </c>
      <c r="E60" s="1">
        <f>IF(PLANEJAMENTO!G60="","",PLANEJAMENTO!G60)</f>
        <v>1801</v>
      </c>
      <c r="F60">
        <f t="shared" si="3"/>
        <v>32</v>
      </c>
      <c r="G60" s="5">
        <v>45994</v>
      </c>
      <c r="H60" s="5">
        <v>46025</v>
      </c>
      <c r="I60" s="10" t="str">
        <f t="shared" si="4"/>
        <v>✅ CONCLUÍDO</v>
      </c>
      <c r="J60" s="1">
        <f t="shared" ca="1" si="5"/>
        <v>0</v>
      </c>
      <c r="K60" t="s">
        <v>583</v>
      </c>
    </row>
    <row r="61" spans="1:11" ht="14.4" x14ac:dyDescent="0.3">
      <c r="A61" s="6">
        <f>IF(PLANEJAMENTO!A61="","",PLANEJAMENTO!A61)</f>
        <v>65010027</v>
      </c>
      <c r="B61" s="6" t="str">
        <f>IF(PLANEJAMENTO!B61="","",PLANEJAMENTO!B61)</f>
        <v>contel-60</v>
      </c>
      <c r="C61" s="6" t="str">
        <f>IF(PLANEJAMENTO!D61="","",PLANEJAMENTO!D61)</f>
        <v>CUIABÁ</v>
      </c>
      <c r="D61" s="6" t="str">
        <f>IF(PLANEJAMENTO!C61="","",PLANEJAMENTO!C61)</f>
        <v>IHS</v>
      </c>
      <c r="E61" s="1">
        <f>IF(PLANEJAMENTO!G61="","",PLANEJAMENTO!G61)</f>
        <v>1714</v>
      </c>
      <c r="F61">
        <f t="shared" si="3"/>
        <v>32</v>
      </c>
      <c r="G61" s="5">
        <v>45994</v>
      </c>
      <c r="H61" s="5">
        <v>46025</v>
      </c>
      <c r="I61" s="10" t="str">
        <f t="shared" si="4"/>
        <v>✅ CONCLUÍDO</v>
      </c>
      <c r="J61" s="1">
        <f t="shared" ca="1" si="5"/>
        <v>0</v>
      </c>
      <c r="K61" t="s">
        <v>583</v>
      </c>
    </row>
    <row r="62" spans="1:11" ht="14.4" x14ac:dyDescent="0.3">
      <c r="A62" s="6" t="str">
        <f>IF(PLANEJAMENTO!A62="","",PLANEJAMENTO!A62)</f>
        <v>BR88606-A</v>
      </c>
      <c r="B62" s="6" t="str">
        <f>IF(PLANEJAMENTO!B62="","",PLANEJAMENTO!B62)</f>
        <v>contel-61</v>
      </c>
      <c r="C62" s="6" t="str">
        <f>IF(PLANEJAMENTO!D62="","",PLANEJAMENTO!D62)</f>
        <v>MANAUS</v>
      </c>
      <c r="D62" s="6" t="str">
        <f>IF(PLANEJAMENTO!C62="","",PLANEJAMENTO!C62)</f>
        <v>SBA</v>
      </c>
      <c r="E62" s="1">
        <f>IF(PLANEJAMENTO!G62="","",PLANEJAMENTO!G62)</f>
        <v>1805</v>
      </c>
      <c r="F62">
        <f t="shared" si="3"/>
        <v>61</v>
      </c>
      <c r="G62" s="5">
        <v>45995</v>
      </c>
      <c r="H62" s="5">
        <v>46055</v>
      </c>
      <c r="I62" s="10" t="str">
        <f t="shared" ca="1" si="4"/>
        <v>⏰ ATRASADO</v>
      </c>
      <c r="J62" s="1">
        <f t="shared" ca="1" si="5"/>
        <v>-44</v>
      </c>
    </row>
    <row r="63" spans="1:11" ht="14.4" x14ac:dyDescent="0.3">
      <c r="A63" s="6" t="str">
        <f>IF(PLANEJAMENTO!A63="","",PLANEJAMENTO!A63)</f>
        <v>BR87717-A</v>
      </c>
      <c r="B63" s="6" t="str">
        <f>IF(PLANEJAMENTO!B63="","",PLANEJAMENTO!B63)</f>
        <v>contel-62</v>
      </c>
      <c r="C63" s="6" t="str">
        <f>IF(PLANEJAMENTO!D63="","",PLANEJAMENTO!D63)</f>
        <v>SÃO LUIS DE MONTES BELOS</v>
      </c>
      <c r="D63" s="6" t="str">
        <f>IF(PLANEJAMENTO!C63="","",PLANEJAMENTO!C63)</f>
        <v>SBA</v>
      </c>
      <c r="E63" s="1">
        <f>IF(PLANEJAMENTO!G63="","",PLANEJAMENTO!G63)</f>
        <v>1806</v>
      </c>
      <c r="F63">
        <f t="shared" si="3"/>
        <v>16</v>
      </c>
      <c r="G63" s="5">
        <v>45996</v>
      </c>
      <c r="H63" s="5">
        <v>46011</v>
      </c>
      <c r="I63" s="10" t="str">
        <f t="shared" si="4"/>
        <v>✅ CONCLUÍDO</v>
      </c>
      <c r="J63" s="1">
        <f t="shared" ca="1" si="5"/>
        <v>0</v>
      </c>
      <c r="K63" t="s">
        <v>583</v>
      </c>
    </row>
    <row r="64" spans="1:11" ht="14.4" x14ac:dyDescent="0.3">
      <c r="A64" s="6" t="str">
        <f>IF(PLANEJAMENTO!A64="","",PLANEJAMENTO!A64)</f>
        <v>BR54982-A</v>
      </c>
      <c r="B64" s="6" t="str">
        <f>IF(PLANEJAMENTO!B64="","",PLANEJAMENTO!B64)</f>
        <v>contel-63</v>
      </c>
      <c r="C64" s="6" t="str">
        <f>IF(PLANEJAMENTO!D64="","",PLANEJAMENTO!D64)</f>
        <v>SERRANO</v>
      </c>
      <c r="D64" s="6" t="str">
        <f>IF(PLANEJAMENTO!C64="","",PLANEJAMENTO!C64)</f>
        <v>SBA</v>
      </c>
      <c r="E64" s="1">
        <f>IF(PLANEJAMENTO!G64="","",PLANEJAMENTO!G64)</f>
        <v>1812</v>
      </c>
      <c r="F64">
        <f t="shared" si="3"/>
        <v>31</v>
      </c>
      <c r="G64" s="5">
        <v>46002</v>
      </c>
      <c r="H64" s="5">
        <v>46032</v>
      </c>
      <c r="I64" s="10" t="str">
        <f t="shared" si="4"/>
        <v>✅ CONCLUÍDO</v>
      </c>
      <c r="J64" s="1">
        <f t="shared" ca="1" si="5"/>
        <v>0</v>
      </c>
      <c r="K64" t="s">
        <v>583</v>
      </c>
    </row>
    <row r="65" spans="1:11" ht="14.4" x14ac:dyDescent="0.3">
      <c r="A65" s="6" t="str">
        <f>IF(PLANEJAMENTO!A65="","",PLANEJAMENTO!A65)</f>
        <v>BR80534-A</v>
      </c>
      <c r="B65" s="6" t="str">
        <f>IF(PLANEJAMENTO!B65="","",PLANEJAMENTO!B65)</f>
        <v>contel-64</v>
      </c>
      <c r="C65" s="6" t="str">
        <f>IF(PLANEJAMENTO!D65="","",PLANEJAMENTO!D65)</f>
        <v>SALINOPOLIS</v>
      </c>
      <c r="D65" s="6" t="str">
        <f>IF(PLANEJAMENTO!C65="","",PLANEJAMENTO!C65)</f>
        <v>SBA</v>
      </c>
      <c r="E65" s="1">
        <f>IF(PLANEJAMENTO!G65="","",PLANEJAMENTO!G65)</f>
        <v>1813</v>
      </c>
      <c r="F65">
        <f t="shared" si="3"/>
        <v>64</v>
      </c>
      <c r="G65" s="5">
        <v>46003</v>
      </c>
      <c r="H65" s="5">
        <v>46066</v>
      </c>
      <c r="I65" s="10" t="str">
        <f t="shared" si="4"/>
        <v>🚫CANCELADO</v>
      </c>
      <c r="J65" s="1">
        <f t="shared" ca="1" si="5"/>
        <v>-33</v>
      </c>
      <c r="K65" t="s">
        <v>585</v>
      </c>
    </row>
    <row r="66" spans="1:11" ht="14.4" x14ac:dyDescent="0.3">
      <c r="A66" s="6" t="str">
        <f>IF(PLANEJAMENTO!A66="","",PLANEJAMENTO!A66)</f>
        <v>BR87627-A</v>
      </c>
      <c r="B66" s="6" t="str">
        <f>IF(PLANEJAMENTO!B66="","",PLANEJAMENTO!B66)</f>
        <v>contel-65</v>
      </c>
      <c r="C66" s="6" t="str">
        <f>IF(PLANEJAMENTO!D66="","",PLANEJAMENTO!D66)</f>
        <v>APARECIDA DE GOIÂNIA</v>
      </c>
      <c r="D66" s="6" t="str">
        <f>IF(PLANEJAMENTO!C66="","",PLANEJAMENTO!C66)</f>
        <v>SBA</v>
      </c>
      <c r="E66" s="1">
        <f>IF(PLANEJAMENTO!G66="","",PLANEJAMENTO!G66)</f>
        <v>1823</v>
      </c>
      <c r="F66">
        <f t="shared" ref="F66:F97" si="6">IF(AND(G66&lt;&gt;"",H66&lt;&gt;""),H66-G66+1,"")</f>
        <v>61</v>
      </c>
      <c r="G66" s="5">
        <v>46008</v>
      </c>
      <c r="H66" s="5">
        <v>46068</v>
      </c>
      <c r="I66" s="10" t="str">
        <f t="shared" ref="I66:I97" ca="1" si="7">IF(K66="FINALIZADO","✅ CONCLUÍDO",
   IF(K66="PARALISADO","⚠️ PARALISADO",IF(K66="CANCELADO","🚫CANCELADO",
      IF(J66="","🕓 EM ANDAMENTO",
         IF(J66&lt;0,"⏰ ATRASADO",
            "🕓 EM ANDAMENTO"
         )
      )
   )
))</f>
        <v>⏰ ATRASADO</v>
      </c>
      <c r="J66" s="1">
        <f t="shared" ref="J66:J97" ca="1" si="8">IF(K66="FINALIZADO",0,IF(ISBLANK(H66),"",H66-TODAY()))</f>
        <v>-31</v>
      </c>
    </row>
    <row r="67" spans="1:11" ht="14.4" x14ac:dyDescent="0.3">
      <c r="A67" s="6" t="str">
        <f>IF(PLANEJAMENTO!A67="","",PLANEJAMENTO!A67)</f>
        <v>SM7 TANKS BR</v>
      </c>
      <c r="B67" s="6" t="str">
        <f>IF(PLANEJAMENTO!B67="","",PLANEJAMENTO!B67)</f>
        <v>contel-66</v>
      </c>
      <c r="C67" s="6" t="str">
        <f>IF(PLANEJAMENTO!D67="","",PLANEJAMENTO!D67)</f>
        <v>BRASILIA</v>
      </c>
      <c r="D67" s="6" t="str">
        <f>IF(PLANEJAMENTO!C67="","",PLANEJAMENTO!C67)</f>
        <v>SM7</v>
      </c>
      <c r="E67" s="1">
        <f>IF(PLANEJAMENTO!G67="","",PLANEJAMENTO!G67)</f>
        <v>1814</v>
      </c>
      <c r="F67">
        <f t="shared" si="6"/>
        <v>80</v>
      </c>
      <c r="G67" s="5">
        <v>46002</v>
      </c>
      <c r="H67" s="5">
        <v>46081</v>
      </c>
      <c r="I67" s="10" t="str">
        <f t="shared" ca="1" si="7"/>
        <v>⏰ ATRASADO</v>
      </c>
      <c r="J67" s="1">
        <f t="shared" ca="1" si="8"/>
        <v>-18</v>
      </c>
    </row>
    <row r="68" spans="1:11" ht="14.4" x14ac:dyDescent="0.3">
      <c r="A68" s="6" t="str">
        <f>IF(PLANEJAMENTO!A68="","",PLANEJAMENTO!A68)</f>
        <v>RSP-SLE-007</v>
      </c>
      <c r="B68" s="6" t="str">
        <f>IF(PLANEJAMENTO!B68="","",PLANEJAMENTO!B68)</f>
        <v>contel-67</v>
      </c>
      <c r="C68" s="6" t="str">
        <f>IF(PLANEJAMENTO!D68="","",PLANEJAMENTO!D68)</f>
        <v>SÃO LEOPOLDO</v>
      </c>
      <c r="D68" s="6" t="str">
        <f>IF(PLANEJAMENTO!C68="","",PLANEJAMENTO!C68)</f>
        <v>HLB</v>
      </c>
      <c r="E68" s="1">
        <f>IF(PLANEJAMENTO!G68="","",PLANEJAMENTO!G68)</f>
        <v>1824</v>
      </c>
      <c r="F68">
        <f t="shared" si="6"/>
        <v>5</v>
      </c>
      <c r="G68" s="5">
        <v>46034</v>
      </c>
      <c r="H68" s="5">
        <v>46038</v>
      </c>
      <c r="I68" s="10" t="str">
        <f t="shared" si="7"/>
        <v>✅ CONCLUÍDO</v>
      </c>
      <c r="J68" s="1">
        <f t="shared" ca="1" si="8"/>
        <v>0</v>
      </c>
      <c r="K68" t="s">
        <v>583</v>
      </c>
    </row>
    <row r="69" spans="1:11" ht="14.4" x14ac:dyDescent="0.3">
      <c r="A69" s="6" t="str">
        <f>IF(PLANEJAMENTO!A69="","",PLANEJAMENTO!A69)</f>
        <v>SP4-BRU-001</v>
      </c>
      <c r="B69" s="6" t="str">
        <f>IF(PLANEJAMENTO!B69="","",PLANEJAMENTO!B69)</f>
        <v>contel-68</v>
      </c>
      <c r="C69" s="6" t="str">
        <f>IF(PLANEJAMENTO!D69="","",PLANEJAMENTO!D69)</f>
        <v>BAURU</v>
      </c>
      <c r="D69" s="6" t="str">
        <f>IF(PLANEJAMENTO!C69="","",PLANEJAMENTO!C69)</f>
        <v>HLB</v>
      </c>
      <c r="E69" s="1">
        <f>IF(PLANEJAMENTO!G69="","",PLANEJAMENTO!G69)</f>
        <v>1818</v>
      </c>
      <c r="F69">
        <f t="shared" si="6"/>
        <v>12</v>
      </c>
      <c r="G69" s="5">
        <v>46020</v>
      </c>
      <c r="H69" s="5">
        <v>46031</v>
      </c>
      <c r="I69" s="10" t="str">
        <f t="shared" si="7"/>
        <v>✅ CONCLUÍDO</v>
      </c>
      <c r="J69" s="1">
        <f t="shared" ca="1" si="8"/>
        <v>0</v>
      </c>
      <c r="K69" t="s">
        <v>583</v>
      </c>
    </row>
    <row r="70" spans="1:11" ht="14.4" x14ac:dyDescent="0.3">
      <c r="A70" s="6" t="str">
        <f>IF(PLANEJAMENTO!A70="","",PLANEJAMENTO!A70)</f>
        <v>SPP-NOA-011</v>
      </c>
      <c r="B70" s="6" t="str">
        <f>IF(PLANEJAMENTO!B70="","",PLANEJAMENTO!B70)</f>
        <v>contel-69</v>
      </c>
      <c r="C70" s="6" t="str">
        <f>IF(PLANEJAMENTO!D70="","",PLANEJAMENTO!D70)</f>
        <v>NOVA ODESSA</v>
      </c>
      <c r="D70" s="6" t="str">
        <f>IF(PLANEJAMENTO!C70="","",PLANEJAMENTO!C70)</f>
        <v>HLB</v>
      </c>
      <c r="E70" s="1">
        <f>IF(PLANEJAMENTO!G70="","",PLANEJAMENTO!G70)</f>
        <v>1826</v>
      </c>
      <c r="F70">
        <f t="shared" si="6"/>
        <v>12</v>
      </c>
      <c r="G70" s="5">
        <v>46020</v>
      </c>
      <c r="H70" s="5">
        <v>46031</v>
      </c>
      <c r="I70" s="10" t="str">
        <f t="shared" si="7"/>
        <v>✅ CONCLUÍDO</v>
      </c>
      <c r="J70" s="1">
        <f t="shared" ca="1" si="8"/>
        <v>0</v>
      </c>
      <c r="K70" t="s">
        <v>583</v>
      </c>
    </row>
    <row r="71" spans="1:11" ht="14.4" x14ac:dyDescent="0.3">
      <c r="A71" s="6" t="str">
        <f>IF(PLANEJAMENTO!A71="","",PLANEJAMENTO!A71)</f>
        <v>MAJNP001</v>
      </c>
      <c r="B71" s="6" t="str">
        <f>IF(PLANEJAMENTO!B71="","",PLANEJAMENTO!B71)</f>
        <v>contel-70</v>
      </c>
      <c r="C71" s="6" t="str">
        <f>IF(PLANEJAMENTO!D71="","",PLANEJAMENTO!D71)</f>
        <v>JENIPAPO DOS VIEIRAS</v>
      </c>
      <c r="D71" s="6" t="str">
        <f>IF(PLANEJAMENTO!C71="","",PLANEJAMENTO!C71)</f>
        <v>HLB</v>
      </c>
      <c r="E71" s="1">
        <f>IF(PLANEJAMENTO!G71="","",PLANEJAMENTO!G71)</f>
        <v>1825</v>
      </c>
      <c r="F71">
        <f t="shared" si="6"/>
        <v>11</v>
      </c>
      <c r="G71" s="5">
        <v>46022</v>
      </c>
      <c r="H71" s="5">
        <v>46032</v>
      </c>
      <c r="I71" s="10" t="str">
        <f t="shared" si="7"/>
        <v>✅ CONCLUÍDO</v>
      </c>
      <c r="J71" s="1">
        <f t="shared" ca="1" si="8"/>
        <v>0</v>
      </c>
      <c r="K71" t="s">
        <v>583</v>
      </c>
    </row>
    <row r="72" spans="1:11" ht="14.4" x14ac:dyDescent="0.3">
      <c r="A72" s="6" t="str">
        <f>IF(PLANEJAMENTO!A72="","",PLANEJAMENTO!A72)</f>
        <v>MABMX002</v>
      </c>
      <c r="B72" s="6" t="str">
        <f>IF(PLANEJAMENTO!B72="","",PLANEJAMENTO!B72)</f>
        <v>contel-71</v>
      </c>
      <c r="C72" s="6" t="str">
        <f>IF(PLANEJAMENTO!D72="","",PLANEJAMENTO!D72)</f>
        <v>BOM JESUS DA SELVA</v>
      </c>
      <c r="D72" s="6" t="str">
        <f>IF(PLANEJAMENTO!C72="","",PLANEJAMENTO!C72)</f>
        <v>HLB</v>
      </c>
      <c r="E72" s="1">
        <f>IF(PLANEJAMENTO!G72="","",PLANEJAMENTO!G72)</f>
        <v>1850</v>
      </c>
      <c r="F72">
        <f t="shared" si="6"/>
        <v>41</v>
      </c>
      <c r="G72" s="5">
        <v>46013</v>
      </c>
      <c r="H72" s="5">
        <v>46053</v>
      </c>
      <c r="I72" s="10" t="str">
        <f t="shared" si="7"/>
        <v>✅ CONCLUÍDO</v>
      </c>
      <c r="J72" s="1">
        <f t="shared" ca="1" si="8"/>
        <v>0</v>
      </c>
      <c r="K72" t="s">
        <v>583</v>
      </c>
    </row>
    <row r="73" spans="1:11" ht="14.4" x14ac:dyDescent="0.3">
      <c r="A73" s="6" t="str">
        <f>IF(PLANEJAMENTO!A73="","",PLANEJAMENTO!A73)</f>
        <v>BR72493-A</v>
      </c>
      <c r="B73" s="6" t="str">
        <f>IF(PLANEJAMENTO!B73="","",PLANEJAMENTO!B73)</f>
        <v>contel-72</v>
      </c>
      <c r="C73" s="6" t="str">
        <f>IF(PLANEJAMENTO!D73="","",PLANEJAMENTO!D73)</f>
        <v>ARAÇATUBA</v>
      </c>
      <c r="D73" s="6" t="str">
        <f>IF(PLANEJAMENTO!C73="","",PLANEJAMENTO!C73)</f>
        <v>SBA</v>
      </c>
      <c r="E73" s="1">
        <f>IF(PLANEJAMENTO!G73="","",PLANEJAMENTO!G73)</f>
        <v>1860</v>
      </c>
      <c r="F73">
        <f t="shared" si="6"/>
        <v>32</v>
      </c>
      <c r="G73" s="5">
        <v>46027</v>
      </c>
      <c r="H73" s="5">
        <v>46058</v>
      </c>
      <c r="I73" s="10" t="str">
        <f t="shared" si="7"/>
        <v>✅ CONCLUÍDO</v>
      </c>
      <c r="J73" s="1">
        <f t="shared" ca="1" si="8"/>
        <v>0</v>
      </c>
      <c r="K73" t="s">
        <v>583</v>
      </c>
    </row>
    <row r="74" spans="1:11" ht="14.4" x14ac:dyDescent="0.3">
      <c r="A74" s="6" t="str">
        <f>IF(PLANEJAMENTO!A74="","",PLANEJAMENTO!A74)</f>
        <v>MACDX002</v>
      </c>
      <c r="B74" s="6" t="str">
        <f>IF(PLANEJAMENTO!B74="","",PLANEJAMENTO!B74)</f>
        <v>contel-73</v>
      </c>
      <c r="C74" s="6" t="str">
        <f>IF(PLANEJAMENTO!D74="","",PLANEJAMENTO!D74)</f>
        <v>CODÓ</v>
      </c>
      <c r="D74" s="6" t="str">
        <f>IF(PLANEJAMENTO!C74="","",PLANEJAMENTO!C74)</f>
        <v>HLB</v>
      </c>
      <c r="E74" s="1">
        <f>IF(PLANEJAMENTO!G74="","",PLANEJAMENTO!G74)</f>
        <v>1863</v>
      </c>
      <c r="F74">
        <f t="shared" si="6"/>
        <v>26</v>
      </c>
      <c r="G74" s="5">
        <v>46028</v>
      </c>
      <c r="H74" s="5">
        <v>46053</v>
      </c>
      <c r="I74" s="10" t="str">
        <f t="shared" si="7"/>
        <v>✅ CONCLUÍDO</v>
      </c>
      <c r="J74" s="1">
        <f t="shared" ca="1" si="8"/>
        <v>0</v>
      </c>
      <c r="K74" t="s">
        <v>583</v>
      </c>
    </row>
    <row r="75" spans="1:11" ht="14.4" x14ac:dyDescent="0.3">
      <c r="A75" s="6" t="str">
        <f>IF(PLANEJAMENTO!A75="","",PLANEJAMENTO!A75)</f>
        <v>GONVG001</v>
      </c>
      <c r="B75" s="6" t="str">
        <f>IF(PLANEJAMENTO!B75="","",PLANEJAMENTO!B75)</f>
        <v>contel-74</v>
      </c>
      <c r="C75" s="6" t="str">
        <f>IF(PLANEJAMENTO!D75="","",PLANEJAMENTO!D75)</f>
        <v>NOVO GAMA</v>
      </c>
      <c r="D75" s="6" t="str">
        <f>IF(PLANEJAMENTO!C75="","",PLANEJAMENTO!C75)</f>
        <v>HLB</v>
      </c>
      <c r="E75" s="1">
        <f>IF(PLANEJAMENTO!G75="","",PLANEJAMENTO!G75)</f>
        <v>1862</v>
      </c>
      <c r="F75">
        <f t="shared" si="6"/>
        <v>32</v>
      </c>
      <c r="G75" s="5">
        <v>46028</v>
      </c>
      <c r="H75" s="5">
        <v>46059</v>
      </c>
      <c r="I75" s="10" t="str">
        <f t="shared" si="7"/>
        <v>✅ CONCLUÍDO</v>
      </c>
      <c r="J75" s="1">
        <f t="shared" ca="1" si="8"/>
        <v>0</v>
      </c>
      <c r="K75" t="s">
        <v>583</v>
      </c>
    </row>
    <row r="76" spans="1:11" ht="14.4" x14ac:dyDescent="0.3">
      <c r="A76" s="6" t="str">
        <f>IF(PLANEJAMENTO!A76="","",PLANEJAMENTO!A76)</f>
        <v>BR88239-A</v>
      </c>
      <c r="B76" s="6" t="str">
        <f>IF(PLANEJAMENTO!B76="","",PLANEJAMENTO!B76)</f>
        <v>contel-75</v>
      </c>
      <c r="C76" s="6" t="str">
        <f>IF(PLANEJAMENTO!D76="","",PLANEJAMENTO!D76)</f>
        <v>SÃO LUIS</v>
      </c>
      <c r="D76" s="6" t="str">
        <f>IF(PLANEJAMENTO!C76="","",PLANEJAMENTO!C76)</f>
        <v>SBA</v>
      </c>
      <c r="E76" s="1">
        <f>IF(PLANEJAMENTO!G76="","",PLANEJAMENTO!G76)</f>
        <v>1861</v>
      </c>
      <c r="F76">
        <f t="shared" si="6"/>
        <v>78</v>
      </c>
      <c r="G76" s="5">
        <v>46028</v>
      </c>
      <c r="H76" s="5">
        <v>46105</v>
      </c>
      <c r="I76" s="10" t="str">
        <f t="shared" ca="1" si="7"/>
        <v>🕓 EM ANDAMENTO</v>
      </c>
      <c r="J76" s="1">
        <f t="shared" ca="1" si="8"/>
        <v>6</v>
      </c>
    </row>
    <row r="77" spans="1:11" ht="14.4" x14ac:dyDescent="0.3">
      <c r="A77" s="6">
        <f>IF(PLANEJAMENTO!A77="","",PLANEJAMENTO!A77)</f>
        <v>63060028</v>
      </c>
      <c r="B77" s="6" t="str">
        <f>IF(PLANEJAMENTO!B77="","",PLANEJAMENTO!B77)</f>
        <v>contel-76</v>
      </c>
      <c r="C77" s="6" t="str">
        <f>IF(PLANEJAMENTO!D77="","",PLANEJAMENTO!D77)</f>
        <v>LAGOA DA CONFUSÃO</v>
      </c>
      <c r="D77" s="6" t="str">
        <f>IF(PLANEJAMENTO!C77="","",PLANEJAMENTO!C77)</f>
        <v>HLB</v>
      </c>
      <c r="E77" s="1">
        <f>IF(PLANEJAMENTO!G77="","",PLANEJAMENTO!G77)</f>
        <v>1852</v>
      </c>
      <c r="F77">
        <f t="shared" si="6"/>
        <v>32</v>
      </c>
      <c r="G77" s="5">
        <v>46031</v>
      </c>
      <c r="H77" s="5">
        <v>46062</v>
      </c>
      <c r="I77" s="10" t="str">
        <f t="shared" si="7"/>
        <v>✅ CONCLUÍDO</v>
      </c>
      <c r="J77" s="1">
        <f t="shared" ca="1" si="8"/>
        <v>0</v>
      </c>
      <c r="K77" t="s">
        <v>583</v>
      </c>
    </row>
    <row r="78" spans="1:11" ht="15" customHeight="1" x14ac:dyDescent="0.3">
      <c r="A78" s="6">
        <f>IF(PLANEJAMENTO!A78="","",PLANEJAMENTO!A78)</f>
        <v>82080010</v>
      </c>
      <c r="B78" s="6" t="str">
        <f>IF(PLANEJAMENTO!B78="","",PLANEJAMENTO!B78)</f>
        <v>contel-77</v>
      </c>
      <c r="C78" s="6" t="str">
        <f>IF(PLANEJAMENTO!D78="","",PLANEJAMENTO!D78)</f>
        <v>ANADIA</v>
      </c>
      <c r="D78" s="6" t="str">
        <f>IF(PLANEJAMENTO!C78="","",PLANEJAMENTO!C78)</f>
        <v>IHS</v>
      </c>
      <c r="E78" s="1">
        <f>IF(PLANEJAMENTO!G78="","",PLANEJAMENTO!G78)</f>
        <v>1702</v>
      </c>
      <c r="F78">
        <f t="shared" si="6"/>
        <v>160</v>
      </c>
      <c r="G78" s="5">
        <v>45904</v>
      </c>
      <c r="H78" s="5">
        <v>46063</v>
      </c>
      <c r="I78" s="10" t="str">
        <f t="shared" si="7"/>
        <v>✅ CONCLUÍDO</v>
      </c>
      <c r="J78" s="1">
        <f t="shared" ca="1" si="8"/>
        <v>0</v>
      </c>
      <c r="K78" t="s">
        <v>583</v>
      </c>
    </row>
    <row r="79" spans="1:11" ht="15" customHeight="1" x14ac:dyDescent="0.3">
      <c r="A79" s="6" t="str">
        <f>IF(PLANEJAMENTO!A79="","",PLANEJAMENTO!A79)</f>
        <v>CONDOMINIO GENOVA</v>
      </c>
      <c r="B79" s="6" t="str">
        <f>IF(PLANEJAMENTO!B79="","",PLANEJAMENTO!B79)</f>
        <v>contel-78</v>
      </c>
      <c r="C79" s="6" t="str">
        <f>IF(PLANEJAMENTO!D79="","",PLANEJAMENTO!D79)</f>
        <v>SÃO PAULO</v>
      </c>
      <c r="D79" s="6" t="str">
        <f>IF(PLANEJAMENTO!C79="","",PLANEJAMENTO!C79)</f>
        <v xml:space="preserve"> GENOVA</v>
      </c>
      <c r="E79" s="1">
        <f>IF(PLANEJAMENTO!G79="","",PLANEJAMENTO!G79)</f>
        <v>1870</v>
      </c>
      <c r="F79">
        <f t="shared" si="6"/>
        <v>8</v>
      </c>
      <c r="G79" s="5">
        <v>46035</v>
      </c>
      <c r="H79" s="5">
        <v>46042</v>
      </c>
      <c r="I79" s="10" t="str">
        <f t="shared" si="7"/>
        <v>✅ CONCLUÍDO</v>
      </c>
      <c r="J79" s="1">
        <f t="shared" ca="1" si="8"/>
        <v>0</v>
      </c>
      <c r="K79" t="s">
        <v>583</v>
      </c>
    </row>
    <row r="80" spans="1:11" ht="15" customHeight="1" x14ac:dyDescent="0.3">
      <c r="A80" s="6" t="str">
        <f>IF(PLANEJAMENTO!A80="","",PLANEJAMENTO!A80)</f>
        <v>DFBRS174</v>
      </c>
      <c r="B80" s="6" t="str">
        <f>IF(PLANEJAMENTO!B80="","",PLANEJAMENTO!B80)</f>
        <v>contel-79</v>
      </c>
      <c r="C80" s="6" t="str">
        <f>IF(PLANEJAMENTO!D80="","",PLANEJAMENTO!D80)</f>
        <v>BRASILIA</v>
      </c>
      <c r="D80" s="6" t="str">
        <f>IF(PLANEJAMENTO!C80="","",PLANEJAMENTO!C80)</f>
        <v>HLB</v>
      </c>
      <c r="E80" s="1">
        <f>IF(PLANEJAMENTO!G80="","",PLANEJAMENTO!G80)</f>
        <v>1873</v>
      </c>
      <c r="F80">
        <f t="shared" si="6"/>
        <v>31</v>
      </c>
      <c r="G80" s="5">
        <v>46038</v>
      </c>
      <c r="H80" s="5">
        <v>46068</v>
      </c>
      <c r="I80" s="10" t="str">
        <f t="shared" si="7"/>
        <v>⚠️ PARALISADO</v>
      </c>
      <c r="J80" s="1">
        <f t="shared" ca="1" si="8"/>
        <v>-31</v>
      </c>
      <c r="K80" t="s">
        <v>584</v>
      </c>
    </row>
    <row r="81" spans="1:11" ht="15" customHeight="1" x14ac:dyDescent="0.3">
      <c r="A81" s="6" t="str">
        <f>IF(PLANEJAMENTO!A81="","",PLANEJAMENTO!A81)</f>
        <v>MSPRT002</v>
      </c>
      <c r="B81" s="6" t="str">
        <f>IF(PLANEJAMENTO!B81="","",PLANEJAMENTO!B81)</f>
        <v>contel-80</v>
      </c>
      <c r="C81" s="6" t="str">
        <f>IF(PLANEJAMENTO!D81="","",PLANEJAMENTO!D81)</f>
        <v>PORTO MURTINHO</v>
      </c>
      <c r="D81" s="6" t="str">
        <f>IF(PLANEJAMENTO!C81="","",PLANEJAMENTO!C81)</f>
        <v>HLB</v>
      </c>
      <c r="E81" s="1">
        <f>IF(PLANEJAMENTO!G81="","",PLANEJAMENTO!G81)</f>
        <v>1877</v>
      </c>
      <c r="F81">
        <f t="shared" si="6"/>
        <v>50</v>
      </c>
      <c r="G81" s="5">
        <v>46052</v>
      </c>
      <c r="H81" s="5">
        <v>46101</v>
      </c>
      <c r="I81" s="10" t="str">
        <f t="shared" ca="1" si="7"/>
        <v>🕓 EM ANDAMENTO</v>
      </c>
      <c r="J81" s="1">
        <f t="shared" ca="1" si="8"/>
        <v>2</v>
      </c>
    </row>
    <row r="82" spans="1:11" ht="15" customHeight="1" x14ac:dyDescent="0.3">
      <c r="A82" s="6" t="str">
        <f>IF(PLANEJAMENTO!A82="","",PLANEJAMENTO!A82)</f>
        <v>PAVGX002</v>
      </c>
      <c r="B82" s="6" t="str">
        <f>IF(PLANEJAMENTO!B82="","",PLANEJAMENTO!B82)</f>
        <v>contel-81</v>
      </c>
      <c r="C82" s="6" t="str">
        <f>IF(PLANEJAMENTO!D82="","",PLANEJAMENTO!D82)</f>
        <v>VIGIA</v>
      </c>
      <c r="D82" s="6" t="str">
        <f>IF(PLANEJAMENTO!C82="","",PLANEJAMENTO!C82)</f>
        <v>HLB</v>
      </c>
      <c r="E82" s="1">
        <f>IF(PLANEJAMENTO!G82="","",PLANEJAMENTO!G82)</f>
        <v>1876</v>
      </c>
      <c r="F82">
        <f t="shared" si="6"/>
        <v>48</v>
      </c>
      <c r="G82" s="5">
        <v>46052</v>
      </c>
      <c r="H82" s="5">
        <v>46099</v>
      </c>
      <c r="I82" s="10" t="str">
        <f t="shared" ca="1" si="7"/>
        <v>🕓 EM ANDAMENTO</v>
      </c>
      <c r="J82" s="1">
        <f t="shared" ca="1" si="8"/>
        <v>0</v>
      </c>
    </row>
    <row r="83" spans="1:11" ht="15" customHeight="1" x14ac:dyDescent="0.3">
      <c r="A83" s="6" t="str">
        <f>IF(PLANEJAMENTO!A83="","",PLANEJAMENTO!A83)</f>
        <v>MTCST002</v>
      </c>
      <c r="B83" s="6" t="str">
        <f>IF(PLANEJAMENTO!B83="","",PLANEJAMENTO!B83)</f>
        <v>contel-82</v>
      </c>
      <c r="C83" s="6" t="str">
        <f>IF(PLANEJAMENTO!D83="","",PLANEJAMENTO!D83)</f>
        <v>CASTANHEIRA</v>
      </c>
      <c r="D83" s="6" t="str">
        <f>IF(PLANEJAMENTO!C83="","",PLANEJAMENTO!C83)</f>
        <v>HLB</v>
      </c>
      <c r="E83" s="1">
        <f>IF(PLANEJAMENTO!G83="","",PLANEJAMENTO!G83)</f>
        <v>1875</v>
      </c>
      <c r="F83">
        <f t="shared" si="6"/>
        <v>53</v>
      </c>
      <c r="G83" s="5">
        <v>46052</v>
      </c>
      <c r="H83" s="5">
        <v>46104</v>
      </c>
      <c r="I83" s="10" t="str">
        <f t="shared" ca="1" si="7"/>
        <v>🕓 EM ANDAMENTO</v>
      </c>
      <c r="J83" s="1">
        <f t="shared" ca="1" si="8"/>
        <v>5</v>
      </c>
    </row>
    <row r="84" spans="1:11" ht="15" customHeight="1" x14ac:dyDescent="0.3">
      <c r="A84" s="6" t="str">
        <f>IF(PLANEJAMENTO!A84="","",PLANEJAMENTO!A84)</f>
        <v>BR77226-A</v>
      </c>
      <c r="B84" s="6" t="str">
        <f>IF(PLANEJAMENTO!B84="","",PLANEJAMENTO!B84)</f>
        <v>contel-83</v>
      </c>
      <c r="C84" s="6" t="str">
        <f>IF(PLANEJAMENTO!D84="","",PLANEJAMENTO!D84)</f>
        <v>SÃO LUIS DE MONTES BELOS</v>
      </c>
      <c r="D84" s="6" t="str">
        <f>IF(PLANEJAMENTO!C84="","",PLANEJAMENTO!C84)</f>
        <v>SBA</v>
      </c>
      <c r="E84" s="1">
        <f>IF(PLANEJAMENTO!G84="","",PLANEJAMENTO!G84)</f>
        <v>1880</v>
      </c>
      <c r="F84">
        <f t="shared" si="6"/>
        <v>41</v>
      </c>
      <c r="G84" s="5">
        <v>46043</v>
      </c>
      <c r="H84" s="5">
        <v>46083</v>
      </c>
      <c r="I84" s="10" t="str">
        <f t="shared" si="7"/>
        <v>✅ CONCLUÍDO</v>
      </c>
      <c r="J84" s="1">
        <f t="shared" ca="1" si="8"/>
        <v>0</v>
      </c>
      <c r="K84" t="s">
        <v>583</v>
      </c>
    </row>
    <row r="85" spans="1:11" ht="15" customHeight="1" x14ac:dyDescent="0.3">
      <c r="A85" s="6" t="str">
        <f>IF(PLANEJAMENTO!A85="","",PLANEJAMENTO!A85)</f>
        <v>BR65897-A</v>
      </c>
      <c r="B85" s="6" t="str">
        <f>IF(PLANEJAMENTO!B85="","",PLANEJAMENTO!B85)</f>
        <v>contel-84</v>
      </c>
      <c r="C85" s="6" t="str">
        <f>IF(PLANEJAMENTO!D85="","",PLANEJAMENTO!D85)</f>
        <v>VISTA ALEGRE</v>
      </c>
      <c r="D85" s="6" t="str">
        <f>IF(PLANEJAMENTO!C85="","",PLANEJAMENTO!C85)</f>
        <v>SBA</v>
      </c>
      <c r="E85" s="1">
        <f>IF(PLANEJAMENTO!G85="","",PLANEJAMENTO!G85)</f>
        <v>1891</v>
      </c>
      <c r="F85">
        <f t="shared" si="6"/>
        <v>6</v>
      </c>
      <c r="G85" s="5">
        <v>46051</v>
      </c>
      <c r="H85" s="5">
        <v>46056</v>
      </c>
      <c r="I85" s="10" t="str">
        <f t="shared" si="7"/>
        <v>✅ CONCLUÍDO</v>
      </c>
      <c r="J85" s="1">
        <f t="shared" ca="1" si="8"/>
        <v>0</v>
      </c>
      <c r="K85" t="s">
        <v>583</v>
      </c>
    </row>
    <row r="86" spans="1:11" ht="15" customHeight="1" x14ac:dyDescent="0.3">
      <c r="A86" s="6" t="str">
        <f>IF(PLANEJAMENTO!A86="","",PLANEJAMENTO!A86)</f>
        <v>BR73373-R</v>
      </c>
      <c r="B86" s="6" t="str">
        <f>IF(PLANEJAMENTO!B86="","",PLANEJAMENTO!B86)</f>
        <v>contel-85</v>
      </c>
      <c r="C86" s="6" t="str">
        <f>IF(PLANEJAMENTO!D86="","",PLANEJAMENTO!D86)</f>
        <v>CAMPINAS</v>
      </c>
      <c r="D86" s="6" t="str">
        <f>IF(PLANEJAMENTO!C86="","",PLANEJAMENTO!C86)</f>
        <v>SBA</v>
      </c>
      <c r="E86" s="1">
        <f>IF(PLANEJAMENTO!G86="","",PLANEJAMENTO!G86)</f>
        <v>1889</v>
      </c>
      <c r="F86">
        <f t="shared" si="6"/>
        <v>7</v>
      </c>
      <c r="G86" s="5">
        <v>46052</v>
      </c>
      <c r="H86" s="5">
        <v>46058</v>
      </c>
      <c r="I86" s="10" t="str">
        <f t="shared" ca="1" si="7"/>
        <v>⏰ ATRASADO</v>
      </c>
      <c r="J86" s="1">
        <f t="shared" ca="1" si="8"/>
        <v>-41</v>
      </c>
    </row>
    <row r="87" spans="1:11" ht="15" customHeight="1" x14ac:dyDescent="0.3">
      <c r="A87" s="6" t="str">
        <f>IF(PLANEJAMENTO!A87="","",PLANEJAMENTO!A87)</f>
        <v>BR50560-A</v>
      </c>
      <c r="B87" s="6" t="str">
        <f>IF(PLANEJAMENTO!B87="","",PLANEJAMENTO!B87)</f>
        <v>contel-86</v>
      </c>
      <c r="C87" s="6" t="str">
        <f>IF(PLANEJAMENTO!D87="","",PLANEJAMENTO!D87)</f>
        <v>FATIMA DO SUL</v>
      </c>
      <c r="D87" s="6" t="str">
        <f>IF(PLANEJAMENTO!C87="","",PLANEJAMENTO!C87)</f>
        <v>SBA</v>
      </c>
      <c r="E87" s="1">
        <f>IF(PLANEJAMENTO!G87="","",PLANEJAMENTO!G87)</f>
        <v>1890</v>
      </c>
      <c r="F87">
        <f t="shared" si="6"/>
        <v>52</v>
      </c>
      <c r="G87" s="5">
        <v>46031</v>
      </c>
      <c r="H87" s="5">
        <v>46082</v>
      </c>
      <c r="I87" s="10" t="str">
        <f t="shared" si="7"/>
        <v>✅ CONCLUÍDO</v>
      </c>
      <c r="J87" s="1">
        <f t="shared" ca="1" si="8"/>
        <v>0</v>
      </c>
      <c r="K87" t="s">
        <v>583</v>
      </c>
    </row>
    <row r="88" spans="1:11" ht="15" customHeight="1" x14ac:dyDescent="0.3">
      <c r="A88" s="6" t="str">
        <f>IF(PLANEJAMENTO!A88="","",PLANEJAMENTO!A88)</f>
        <v>SSS6</v>
      </c>
      <c r="B88" s="6" t="str">
        <f>IF(PLANEJAMENTO!B88="","",PLANEJAMENTO!B88)</f>
        <v>contel-87</v>
      </c>
      <c r="C88" s="6" t="str">
        <f>IF(PLANEJAMENTO!D88="","",PLANEJAMENTO!D88)</f>
        <v>SAO SEBASTIÃO</v>
      </c>
      <c r="D88" s="6" t="str">
        <f>IF(PLANEJAMENTO!C88="","",PLANEJAMENTO!C88)</f>
        <v>TRANSPETRO</v>
      </c>
      <c r="E88" s="1">
        <f>IF(PLANEJAMENTO!G88="","",PLANEJAMENTO!G88)</f>
        <v>1883</v>
      </c>
      <c r="F88">
        <f t="shared" si="6"/>
        <v>180</v>
      </c>
      <c r="G88" s="5">
        <v>46104</v>
      </c>
      <c r="H88" s="5">
        <v>46283</v>
      </c>
      <c r="I88" s="10" t="str">
        <f t="shared" ca="1" si="7"/>
        <v>🕓 EM ANDAMENTO</v>
      </c>
      <c r="J88" s="1">
        <f t="shared" ca="1" si="8"/>
        <v>184</v>
      </c>
    </row>
    <row r="89" spans="1:11" ht="15" customHeight="1" x14ac:dyDescent="0.3">
      <c r="A89" s="6" t="str">
        <f>IF(PLANEJAMENTO!A89="","",PLANEJAMENTO!A89)</f>
        <v>SS25</v>
      </c>
      <c r="B89" s="6" t="str">
        <f>IF(PLANEJAMENTO!B89="","",PLANEJAMENTO!B89)</f>
        <v>contel-88</v>
      </c>
      <c r="C89" s="6" t="str">
        <f>IF(PLANEJAMENTO!D89="","",PLANEJAMENTO!D89)</f>
        <v>SAO SEBASTIÃO</v>
      </c>
      <c r="D89" s="6" t="str">
        <f>IF(PLANEJAMENTO!C89="","",PLANEJAMENTO!C89)</f>
        <v>TRANSPETRO</v>
      </c>
      <c r="E89" s="1">
        <f>IF(PLANEJAMENTO!G89="","",PLANEJAMENTO!G89)</f>
        <v>1884</v>
      </c>
      <c r="F89">
        <f t="shared" si="6"/>
        <v>180</v>
      </c>
      <c r="G89" s="5">
        <v>46104</v>
      </c>
      <c r="H89" s="5">
        <v>46283</v>
      </c>
      <c r="I89" s="10" t="str">
        <f t="shared" ca="1" si="7"/>
        <v>🕓 EM ANDAMENTO</v>
      </c>
      <c r="J89" s="1">
        <f t="shared" ca="1" si="8"/>
        <v>184</v>
      </c>
    </row>
    <row r="90" spans="1:11" ht="15" customHeight="1" x14ac:dyDescent="0.3">
      <c r="A90" s="6" t="str">
        <f>IF(PLANEJAMENTO!A90="","",PLANEJAMENTO!A90)</f>
        <v>SS26</v>
      </c>
      <c r="B90" s="6" t="str">
        <f>IF(PLANEJAMENTO!B90="","",PLANEJAMENTO!B90)</f>
        <v>contel-89</v>
      </c>
      <c r="C90" s="6" t="str">
        <f>IF(PLANEJAMENTO!D90="","",PLANEJAMENTO!D90)</f>
        <v>SAO SEBASTIÃO</v>
      </c>
      <c r="D90" s="6" t="str">
        <f>IF(PLANEJAMENTO!C90="","",PLANEJAMENTO!C90)</f>
        <v>TRANSPETRO</v>
      </c>
      <c r="E90" s="1">
        <f>IF(PLANEJAMENTO!G90="","",PLANEJAMENTO!G90)</f>
        <v>1885</v>
      </c>
      <c r="F90">
        <f t="shared" si="6"/>
        <v>180</v>
      </c>
      <c r="G90" s="5">
        <v>46104</v>
      </c>
      <c r="H90" s="5">
        <v>46283</v>
      </c>
      <c r="I90" s="10" t="str">
        <f t="shared" ca="1" si="7"/>
        <v>🕓 EM ANDAMENTO</v>
      </c>
      <c r="J90" s="1">
        <f t="shared" ca="1" si="8"/>
        <v>184</v>
      </c>
    </row>
    <row r="91" spans="1:11" ht="15" customHeight="1" x14ac:dyDescent="0.3">
      <c r="A91" s="6" t="str">
        <f>IF(PLANEJAMENTO!A91="","",PLANEJAMENTO!A91)</f>
        <v>ST26</v>
      </c>
      <c r="B91" s="6" t="str">
        <f>IF(PLANEJAMENTO!B91="","",PLANEJAMENTO!B91)</f>
        <v>contel-90</v>
      </c>
      <c r="C91" s="6" t="str">
        <f>IF(PLANEJAMENTO!D91="","",PLANEJAMENTO!D91)</f>
        <v>SANTOS</v>
      </c>
      <c r="D91" s="6" t="str">
        <f>IF(PLANEJAMENTO!C91="","",PLANEJAMENTO!C91)</f>
        <v>TRANSPETRO</v>
      </c>
      <c r="E91" s="1">
        <f>IF(PLANEJAMENTO!G91="","",PLANEJAMENTO!G91)</f>
        <v>1886</v>
      </c>
      <c r="F91">
        <f t="shared" si="6"/>
        <v>180</v>
      </c>
      <c r="G91" s="5">
        <v>46104</v>
      </c>
      <c r="H91" s="5">
        <v>46283</v>
      </c>
      <c r="I91" s="10" t="str">
        <f t="shared" ca="1" si="7"/>
        <v>🕓 EM ANDAMENTO</v>
      </c>
      <c r="J91" s="1">
        <f t="shared" ca="1" si="8"/>
        <v>184</v>
      </c>
    </row>
    <row r="92" spans="1:11" ht="15" customHeight="1" x14ac:dyDescent="0.3">
      <c r="A92" s="6" t="str">
        <f>IF(PLANEJAMENTO!A92="","",PLANEJAMENTO!A92)</f>
        <v>GTB40</v>
      </c>
      <c r="B92" s="6" t="str">
        <f>IF(PLANEJAMENTO!B92="","",PLANEJAMENTO!B92)</f>
        <v>contel-91</v>
      </c>
      <c r="C92" s="6" t="str">
        <f>IF(PLANEJAMENTO!D92="","",PLANEJAMENTO!D92)</f>
        <v>GUARATUBA</v>
      </c>
      <c r="D92" s="6" t="str">
        <f>IF(PLANEJAMENTO!C92="","",PLANEJAMENTO!C92)</f>
        <v>TRANSPETRO</v>
      </c>
      <c r="E92" s="1">
        <f>IF(PLANEJAMENTO!G92="","",PLANEJAMENTO!G92)</f>
        <v>1899</v>
      </c>
      <c r="F92">
        <f t="shared" si="6"/>
        <v>180</v>
      </c>
      <c r="G92" s="5">
        <v>46104</v>
      </c>
      <c r="H92" s="5">
        <v>46283</v>
      </c>
      <c r="I92" s="10" t="str">
        <f t="shared" ca="1" si="7"/>
        <v>🕓 EM ANDAMENTO</v>
      </c>
      <c r="J92" s="1">
        <f t="shared" ca="1" si="8"/>
        <v>184</v>
      </c>
    </row>
    <row r="93" spans="1:11" ht="15" customHeight="1" x14ac:dyDescent="0.3">
      <c r="A93" s="6" t="str">
        <f>IF(PLANEJAMENTO!A93="","",PLANEJAMENTO!A93)</f>
        <v>GTB64</v>
      </c>
      <c r="B93" s="6" t="str">
        <f>IF(PLANEJAMENTO!B93="","",PLANEJAMENTO!B93)</f>
        <v>contel-92</v>
      </c>
      <c r="C93" s="6" t="str">
        <f>IF(PLANEJAMENTO!D93="","",PLANEJAMENTO!D93)</f>
        <v>GUARATUBA</v>
      </c>
      <c r="D93" s="6" t="str">
        <f>IF(PLANEJAMENTO!C93="","",PLANEJAMENTO!C93)</f>
        <v>TRANSPETRO</v>
      </c>
      <c r="E93" s="1">
        <f>IF(PLANEJAMENTO!G93="","",PLANEJAMENTO!G93)</f>
        <v>1900</v>
      </c>
      <c r="F93">
        <f t="shared" si="6"/>
        <v>180</v>
      </c>
      <c r="G93" s="5">
        <v>46104</v>
      </c>
      <c r="H93" s="5">
        <v>46283</v>
      </c>
      <c r="I93" s="10" t="str">
        <f t="shared" ca="1" si="7"/>
        <v>🕓 EM ANDAMENTO</v>
      </c>
      <c r="J93" s="1">
        <f t="shared" ca="1" si="8"/>
        <v>184</v>
      </c>
    </row>
    <row r="94" spans="1:11" ht="15" customHeight="1" x14ac:dyDescent="0.3">
      <c r="A94" s="6" t="str">
        <f>IF(PLANEJAMENTO!A94="","",PLANEJAMENTO!A94)</f>
        <v>CPE003TM</v>
      </c>
      <c r="B94" s="6" t="str">
        <f>IF(PLANEJAMENTO!B94="","",PLANEJAMENTO!B94)</f>
        <v>contel-93</v>
      </c>
      <c r="C94" s="6" t="str">
        <f>IF(PLANEJAMENTO!D94="","",PLANEJAMENTO!D94)</f>
        <v>CAMPO GRANDE</v>
      </c>
      <c r="D94" s="6" t="str">
        <f>IF(PLANEJAMENTO!C94="","",PLANEJAMENTO!C94)</f>
        <v>ATC</v>
      </c>
      <c r="E94" s="1">
        <f>IF(PLANEJAMENTO!G94="","",PLANEJAMENTO!G94)</f>
        <v>1727</v>
      </c>
      <c r="F94">
        <f t="shared" si="6"/>
        <v>71</v>
      </c>
      <c r="G94" s="5">
        <v>46024</v>
      </c>
      <c r="H94" s="5">
        <v>46094</v>
      </c>
      <c r="I94" s="10" t="str">
        <f t="shared" ca="1" si="7"/>
        <v>⏰ ATRASADO</v>
      </c>
      <c r="J94" s="1">
        <f t="shared" ca="1" si="8"/>
        <v>-5</v>
      </c>
    </row>
    <row r="95" spans="1:11" ht="15" customHeight="1" x14ac:dyDescent="0.3">
      <c r="A95" s="6" t="str">
        <f>IF(PLANEJAMENTO!A95="","",PLANEJAMENTO!A95)</f>
        <v>CBA013TM</v>
      </c>
      <c r="B95" s="6" t="str">
        <f>IF(PLANEJAMENTO!B95="","",PLANEJAMENTO!B95)</f>
        <v>contel-94</v>
      </c>
      <c r="C95" s="6" t="str">
        <f>IF(PLANEJAMENTO!D95="","",PLANEJAMENTO!D95)</f>
        <v>CUIABÁ</v>
      </c>
      <c r="D95" s="6" t="str">
        <f>IF(PLANEJAMENTO!C95="","",PLANEJAMENTO!C95)</f>
        <v>ATC</v>
      </c>
      <c r="E95" s="1">
        <f>IF(PLANEJAMENTO!G95="","",PLANEJAMENTO!G95)</f>
        <v>1758</v>
      </c>
      <c r="F95">
        <f t="shared" si="6"/>
        <v>32</v>
      </c>
      <c r="G95" s="5">
        <v>46020</v>
      </c>
      <c r="H95" s="5">
        <v>46051</v>
      </c>
      <c r="I95" s="10" t="str">
        <f t="shared" si="7"/>
        <v>🚫CANCELADO</v>
      </c>
      <c r="J95" s="1">
        <f t="shared" ca="1" si="8"/>
        <v>-48</v>
      </c>
      <c r="K95" t="s">
        <v>585</v>
      </c>
    </row>
    <row r="96" spans="1:11" ht="15" customHeight="1" x14ac:dyDescent="0.3">
      <c r="A96" s="6" t="str">
        <f>IF(PLANEJAMENTO!A96="","",PLANEJAMENTO!A96)</f>
        <v>MZE001TM</v>
      </c>
      <c r="B96" s="6" t="str">
        <f>IF(PLANEJAMENTO!B96="","",PLANEJAMENTO!B96)</f>
        <v>contel-95</v>
      </c>
      <c r="C96" s="6" t="str">
        <f>IF(PLANEJAMENTO!D96="","",PLANEJAMENTO!D96)</f>
        <v>MARATAÍZES</v>
      </c>
      <c r="D96" s="6" t="str">
        <f>IF(PLANEJAMENTO!C96="","",PLANEJAMENTO!C96)</f>
        <v>ATC</v>
      </c>
      <c r="E96" s="1">
        <f>IF(PLANEJAMENTO!G96="","",PLANEJAMENTO!G96)</f>
        <v>1847</v>
      </c>
      <c r="F96">
        <f t="shared" si="6"/>
        <v>27</v>
      </c>
      <c r="G96" s="5">
        <v>46045</v>
      </c>
      <c r="H96" s="5">
        <v>46071</v>
      </c>
      <c r="I96" s="10" t="str">
        <f t="shared" si="7"/>
        <v>✅ CONCLUÍDO</v>
      </c>
      <c r="J96" s="1">
        <f t="shared" ca="1" si="8"/>
        <v>0</v>
      </c>
      <c r="K96" t="s">
        <v>583</v>
      </c>
    </row>
    <row r="97" spans="1:11" ht="15" customHeight="1" x14ac:dyDescent="0.3">
      <c r="A97" s="6" t="str">
        <f>IF(PLANEJAMENTO!A97="","",PLANEJAMENTO!A97)</f>
        <v>SMT002VV</v>
      </c>
      <c r="B97" s="6" t="str">
        <f>IF(PLANEJAMENTO!B97="","",PLANEJAMENTO!B97)</f>
        <v>contel-96</v>
      </c>
      <c r="C97" s="6" t="str">
        <f>IF(PLANEJAMENTO!D97="","",PLANEJAMENTO!D97)</f>
        <v>SÃO MATEUS</v>
      </c>
      <c r="D97" s="6" t="str">
        <f>IF(PLANEJAMENTO!C97="","",PLANEJAMENTO!C97)</f>
        <v>ATC</v>
      </c>
      <c r="E97" s="1">
        <f>IF(PLANEJAMENTO!G97="","",PLANEJAMENTO!G97)</f>
        <v>1763</v>
      </c>
      <c r="F97">
        <f t="shared" si="6"/>
        <v>33</v>
      </c>
      <c r="G97" s="5">
        <v>46052</v>
      </c>
      <c r="H97" s="5">
        <v>46084</v>
      </c>
      <c r="I97" s="10" t="str">
        <f t="shared" si="7"/>
        <v>✅ CONCLUÍDO</v>
      </c>
      <c r="J97" s="1">
        <f t="shared" ca="1" si="8"/>
        <v>0</v>
      </c>
      <c r="K97" t="s">
        <v>583</v>
      </c>
    </row>
    <row r="98" spans="1:11" ht="15" customHeight="1" x14ac:dyDescent="0.3">
      <c r="A98" s="6" t="str">
        <f>IF(PLANEJAMENTO!A98="","",PLANEJAMENTO!A98)</f>
        <v>RJO242B1</v>
      </c>
      <c r="B98" s="6" t="str">
        <f>IF(PLANEJAMENTO!B98="","",PLANEJAMENTO!B98)</f>
        <v>contel-97</v>
      </c>
      <c r="C98" s="6" t="str">
        <f>IF(PLANEJAMENTO!D98="","",PLANEJAMENTO!D98)</f>
        <v xml:space="preserve">RIO DE JANEIRO </v>
      </c>
      <c r="D98" s="6" t="str">
        <f>IF(PLANEJAMENTO!C98="","",PLANEJAMENTO!C98)</f>
        <v>ATC</v>
      </c>
      <c r="E98" s="1">
        <f>IF(PLANEJAMENTO!G98="","",PLANEJAMENTO!G98)</f>
        <v>1849</v>
      </c>
      <c r="F98">
        <f t="shared" ref="F98:F129" si="9">IF(AND(G98&lt;&gt;"",H98&lt;&gt;""),H98-G98+1,"")</f>
        <v>97</v>
      </c>
      <c r="G98" s="5">
        <v>46009</v>
      </c>
      <c r="H98" s="5">
        <v>46105</v>
      </c>
      <c r="I98" s="10" t="str">
        <f t="shared" ref="I98:I129" ca="1" si="10">IF(K98="FINALIZADO","✅ CONCLUÍDO",
   IF(K98="PARALISADO","⚠️ PARALISADO",IF(K98="CANCELADO","🚫CANCELADO",
      IF(J98="","🕓 EM ANDAMENTO",
         IF(J98&lt;0,"⏰ ATRASADO",
            "🕓 EM ANDAMENTO"
         )
      )
   )
))</f>
        <v>🕓 EM ANDAMENTO</v>
      </c>
      <c r="J98" s="1">
        <f t="shared" ref="J98:J129" ca="1" si="11">IF(K98="FINALIZADO",0,IF(ISBLANK(H98),"",H98-TODAY()))</f>
        <v>6</v>
      </c>
    </row>
    <row r="99" spans="1:11" ht="15" customHeight="1" x14ac:dyDescent="0.3">
      <c r="A99" s="6" t="str">
        <f>IF(PLANEJAMENTO!A99="","",PLANEJAMENTO!A99)</f>
        <v>CND001B1</v>
      </c>
      <c r="B99" s="6" t="str">
        <f>IF(PLANEJAMENTO!B99="","",PLANEJAMENTO!B99)</f>
        <v>contel-98</v>
      </c>
      <c r="C99" s="6" t="str">
        <f>IF(PLANEJAMENTO!D99="","",PLANEJAMENTO!D99)</f>
        <v>CARANDAÍ</v>
      </c>
      <c r="D99" s="6" t="str">
        <f>IF(PLANEJAMENTO!C99="","",PLANEJAMENTO!C99)</f>
        <v>ATC</v>
      </c>
      <c r="E99" s="1">
        <f>IF(PLANEJAMENTO!G99="","",PLANEJAMENTO!G99)</f>
        <v>1768</v>
      </c>
      <c r="F99">
        <f t="shared" si="9"/>
        <v>298</v>
      </c>
      <c r="G99" s="5">
        <v>45832</v>
      </c>
      <c r="H99" s="5">
        <v>46129</v>
      </c>
      <c r="I99" s="10" t="str">
        <f t="shared" ca="1" si="10"/>
        <v>🕓 EM ANDAMENTO</v>
      </c>
      <c r="J99" s="1">
        <f t="shared" ca="1" si="11"/>
        <v>30</v>
      </c>
    </row>
    <row r="100" spans="1:11" ht="15" customHeight="1" x14ac:dyDescent="0.3">
      <c r="A100" s="6" t="str">
        <f>IF(PLANEJAMENTO!A100="","",PLANEJAMENTO!A100)</f>
        <v>RJO058NP</v>
      </c>
      <c r="B100" s="6" t="str">
        <f>IF(PLANEJAMENTO!B100="","",PLANEJAMENTO!B100)</f>
        <v>contel-99</v>
      </c>
      <c r="C100" s="6" t="str">
        <f>IF(PLANEJAMENTO!D100="","",PLANEJAMENTO!D100)</f>
        <v>RIO DE JANEIRO</v>
      </c>
      <c r="D100" s="6" t="str">
        <f>IF(PLANEJAMENTO!C100="","",PLANEJAMENTO!C100)</f>
        <v>ATC</v>
      </c>
      <c r="E100" s="1">
        <f>IF(PLANEJAMENTO!G100="","",PLANEJAMENTO!G100)</f>
        <v>1716</v>
      </c>
      <c r="F100">
        <f t="shared" si="9"/>
        <v>49</v>
      </c>
      <c r="G100" s="5">
        <v>46057</v>
      </c>
      <c r="H100" s="5">
        <v>46105</v>
      </c>
      <c r="I100" s="10" t="str">
        <f t="shared" ca="1" si="10"/>
        <v>🕓 EM ANDAMENTO</v>
      </c>
      <c r="J100" s="1">
        <f t="shared" ca="1" si="11"/>
        <v>6</v>
      </c>
    </row>
    <row r="101" spans="1:11" ht="15" customHeight="1" x14ac:dyDescent="0.3">
      <c r="A101" s="6" t="str">
        <f>IF(PLANEJAMENTO!A101="","",PLANEJAMENTO!A101)</f>
        <v>BR80471-A</v>
      </c>
      <c r="B101" s="6" t="str">
        <f>IF(PLANEJAMENTO!B101="","",PLANEJAMENTO!B101)</f>
        <v>contel-100</v>
      </c>
      <c r="C101" s="6" t="str">
        <f>IF(PLANEJAMENTO!D101="","",PLANEJAMENTO!D101)</f>
        <v>RIO DE JANEIRO</v>
      </c>
      <c r="D101" s="6" t="str">
        <f>IF(PLANEJAMENTO!C101="","",PLANEJAMENTO!C101)</f>
        <v>SBA</v>
      </c>
      <c r="E101" s="1">
        <f>IF(PLANEJAMENTO!G101="","",PLANEJAMENTO!G101)</f>
        <v>1668</v>
      </c>
      <c r="F101">
        <f t="shared" si="9"/>
        <v>20</v>
      </c>
      <c r="G101" s="5">
        <v>46062</v>
      </c>
      <c r="H101" s="5">
        <v>46081</v>
      </c>
      <c r="I101" s="10" t="str">
        <f t="shared" ca="1" si="10"/>
        <v>⏰ ATRASADO</v>
      </c>
      <c r="J101" s="1">
        <f t="shared" ca="1" si="11"/>
        <v>-18</v>
      </c>
    </row>
    <row r="102" spans="1:11" ht="15" customHeight="1" x14ac:dyDescent="0.3">
      <c r="A102" s="6" t="str">
        <f>IF(PLANEJAMENTO!A102="","",PLANEJAMENTO!A102)</f>
        <v>BR88454-A</v>
      </c>
      <c r="B102" s="6" t="str">
        <f>IF(PLANEJAMENTO!B102="","",PLANEJAMENTO!B102)</f>
        <v>contel-101</v>
      </c>
      <c r="C102" s="6" t="str">
        <f>IF(PLANEJAMENTO!D102="","",PLANEJAMENTO!D102)</f>
        <v>PALMAS</v>
      </c>
      <c r="D102" s="6" t="str">
        <f>IF(PLANEJAMENTO!C102="","",PLANEJAMENTO!C102)</f>
        <v>SBA</v>
      </c>
      <c r="E102" s="1">
        <f>IF(PLANEJAMENTO!G102="","",PLANEJAMENTO!G102)</f>
        <v>1894</v>
      </c>
      <c r="F102">
        <f t="shared" si="9"/>
        <v>34</v>
      </c>
      <c r="G102" s="5">
        <v>46057</v>
      </c>
      <c r="H102" s="5">
        <v>46090</v>
      </c>
      <c r="I102" s="10" t="str">
        <f t="shared" si="10"/>
        <v>✅ CONCLUÍDO</v>
      </c>
      <c r="J102" s="1">
        <f t="shared" ca="1" si="11"/>
        <v>0</v>
      </c>
      <c r="K102" t="s">
        <v>583</v>
      </c>
    </row>
    <row r="103" spans="1:11" ht="15" customHeight="1" x14ac:dyDescent="0.3">
      <c r="A103" s="6" t="str">
        <f>IF(PLANEJAMENTO!A103="","",PLANEJAMENTO!A103)</f>
        <v xml:space="preserve">BSA030TM </v>
      </c>
      <c r="B103" s="6" t="str">
        <f>IF(PLANEJAMENTO!B103="","",PLANEJAMENTO!B103)</f>
        <v>contel-102</v>
      </c>
      <c r="C103" s="6" t="str">
        <f>IF(PLANEJAMENTO!D103="","",PLANEJAMENTO!D103)</f>
        <v>BRASILIA</v>
      </c>
      <c r="D103" s="6" t="str">
        <f>IF(PLANEJAMENTO!C103="","",PLANEJAMENTO!C103)</f>
        <v>ATC</v>
      </c>
      <c r="E103" s="1">
        <f>IF(PLANEJAMENTO!G103="","",PLANEJAMENTO!G103)</f>
        <v>1902</v>
      </c>
      <c r="F103" t="str">
        <f t="shared" si="9"/>
        <v/>
      </c>
      <c r="G103" s="5"/>
      <c r="H103" s="5"/>
      <c r="I103" s="10" t="str">
        <f t="shared" ca="1" si="10"/>
        <v>🕓 EM ANDAMENTO</v>
      </c>
      <c r="J103" s="1" t="str">
        <f t="shared" ca="1" si="11"/>
        <v/>
      </c>
    </row>
    <row r="104" spans="1:11" ht="15" customHeight="1" x14ac:dyDescent="0.3">
      <c r="A104" s="6" t="str">
        <f>IF(PLANEJAMENTO!A104="","",PLANEJAMENTO!A104)</f>
        <v>PPO001TM</v>
      </c>
      <c r="B104" s="6" t="str">
        <f>IF(PLANEJAMENTO!B104="","",PLANEJAMENTO!B104)</f>
        <v>contel-103</v>
      </c>
      <c r="C104" s="6" t="str">
        <f>IF(PLANEJAMENTO!D104="","",PLANEJAMENTO!D104)</f>
        <v>PASSOS</v>
      </c>
      <c r="D104" s="6" t="str">
        <f>IF(PLANEJAMENTO!C104="","",PLANEJAMENTO!C104)</f>
        <v>ATC</v>
      </c>
      <c r="E104" s="1">
        <f>IF(PLANEJAMENTO!G104="","",PLANEJAMENTO!G104)</f>
        <v>1903</v>
      </c>
      <c r="F104" t="str">
        <f t="shared" si="9"/>
        <v/>
      </c>
      <c r="G104" s="5"/>
      <c r="H104" s="5"/>
      <c r="I104" s="10" t="str">
        <f t="shared" ca="1" si="10"/>
        <v>🕓 EM ANDAMENTO</v>
      </c>
      <c r="J104" s="1" t="str">
        <f t="shared" ca="1" si="11"/>
        <v/>
      </c>
    </row>
    <row r="105" spans="1:11" ht="15" customHeight="1" x14ac:dyDescent="0.3">
      <c r="A105" s="6" t="str">
        <f>IF(PLANEJAMENTO!A105="","",PLANEJAMENTO!A105)</f>
        <v>SBB002VV</v>
      </c>
      <c r="B105" s="6" t="str">
        <f>IF(PLANEJAMENTO!B105="","",PLANEJAMENTO!B105)</f>
        <v>contel-104</v>
      </c>
      <c r="C105" s="6" t="str">
        <f>IF(PLANEJAMENTO!D105="","",PLANEJAMENTO!D105)</f>
        <v xml:space="preserve">SANTA BÁRBARA </v>
      </c>
      <c r="D105" s="6" t="str">
        <f>IF(PLANEJAMENTO!C105="","",PLANEJAMENTO!C105)</f>
        <v>ATC</v>
      </c>
      <c r="E105" s="1">
        <f>IF(PLANEJAMENTO!G105="","",PLANEJAMENTO!G105)</f>
        <v>1888</v>
      </c>
      <c r="F105">
        <f t="shared" si="9"/>
        <v>21</v>
      </c>
      <c r="G105" s="5">
        <v>46065</v>
      </c>
      <c r="H105" s="5">
        <v>46085</v>
      </c>
      <c r="I105" s="10" t="str">
        <f t="shared" ca="1" si="10"/>
        <v>⏰ ATRASADO</v>
      </c>
      <c r="J105" s="1">
        <f t="shared" ca="1" si="11"/>
        <v>-14</v>
      </c>
    </row>
    <row r="106" spans="1:11" ht="15" customHeight="1" x14ac:dyDescent="0.3">
      <c r="A106" s="6" t="str">
        <f>IF(PLANEJAMENTO!A106="","",PLANEJAMENTO!A106)</f>
        <v>GNA064TM</v>
      </c>
      <c r="B106" s="6" t="str">
        <f>IF(PLANEJAMENTO!B106="","",PLANEJAMENTO!B106)</f>
        <v>contel-105</v>
      </c>
      <c r="C106" s="6" t="str">
        <f>IF(PLANEJAMENTO!D106="","",PLANEJAMENTO!D106)</f>
        <v>GOIÂNIA</v>
      </c>
      <c r="D106" s="6" t="str">
        <f>IF(PLANEJAMENTO!C106="","",PLANEJAMENTO!C106)</f>
        <v>ATC</v>
      </c>
      <c r="E106" s="1">
        <f>IF(PLANEJAMENTO!G106="","",PLANEJAMENTO!G106)</f>
        <v>1909</v>
      </c>
      <c r="F106" t="str">
        <f t="shared" si="9"/>
        <v/>
      </c>
      <c r="G106" s="5"/>
      <c r="H106" s="5"/>
      <c r="I106" s="10" t="str">
        <f t="shared" si="10"/>
        <v>✅ CONCLUÍDO</v>
      </c>
      <c r="J106" s="1">
        <f t="shared" ca="1" si="11"/>
        <v>0</v>
      </c>
      <c r="K106" t="s">
        <v>583</v>
      </c>
    </row>
    <row r="107" spans="1:11" ht="15" customHeight="1" x14ac:dyDescent="0.3">
      <c r="A107" s="6" t="str">
        <f>IF(PLANEJAMENTO!A107="","",PLANEJAMENTO!A107)</f>
        <v>MSCMX003</v>
      </c>
      <c r="B107" s="6" t="str">
        <f>IF(PLANEJAMENTO!B107="","",PLANEJAMENTO!B107)</f>
        <v>contel-106</v>
      </c>
      <c r="C107" s="6" t="str">
        <f>IF(PLANEJAMENTO!D107="","",PLANEJAMENTO!D107)</f>
        <v>CAMAPUÃ</v>
      </c>
      <c r="D107" s="6" t="str">
        <f>IF(PLANEJAMENTO!C107="","",PLANEJAMENTO!C107)</f>
        <v>HLB</v>
      </c>
      <c r="E107" s="1">
        <f>IF(PLANEJAMENTO!G107="","",PLANEJAMENTO!G107)</f>
        <v>399</v>
      </c>
      <c r="F107" t="str">
        <f t="shared" si="9"/>
        <v/>
      </c>
      <c r="G107" s="5"/>
      <c r="H107" s="5"/>
      <c r="I107" s="10" t="str">
        <f t="shared" si="10"/>
        <v>✅ CONCLUÍDO</v>
      </c>
      <c r="J107" s="1">
        <f t="shared" ca="1" si="11"/>
        <v>0</v>
      </c>
      <c r="K107" t="s">
        <v>583</v>
      </c>
    </row>
    <row r="108" spans="1:11" ht="15" customHeight="1" x14ac:dyDescent="0.3">
      <c r="A108" s="6" t="str">
        <f>IF(PLANEJAMENTO!A108="","",PLANEJAMENTO!A108)</f>
        <v>SQR002VV</v>
      </c>
      <c r="B108" s="6" t="str">
        <f>IF(PLANEJAMENTO!B108="","",PLANEJAMENTO!B108)</f>
        <v>contel-107</v>
      </c>
      <c r="C108" s="6" t="str">
        <f>IF(PLANEJAMENTO!D108="","",PLANEJAMENTO!D108)</f>
        <v>SAQUAREMA</v>
      </c>
      <c r="D108" s="6" t="str">
        <f>IF(PLANEJAMENTO!C108="","",PLANEJAMENTO!C108)</f>
        <v>ATC</v>
      </c>
      <c r="E108" s="1">
        <f>IF(PLANEJAMENTO!G108="","",PLANEJAMENTO!G108)</f>
        <v>1746</v>
      </c>
      <c r="F108">
        <f t="shared" si="9"/>
        <v>60</v>
      </c>
      <c r="G108" s="5">
        <v>46066</v>
      </c>
      <c r="H108" s="5">
        <v>46125</v>
      </c>
      <c r="I108" s="10" t="str">
        <f t="shared" ca="1" si="10"/>
        <v>🕓 EM ANDAMENTO</v>
      </c>
      <c r="J108" s="1">
        <f t="shared" ca="1" si="11"/>
        <v>26</v>
      </c>
    </row>
    <row r="109" spans="1:11" ht="15" customHeight="1" x14ac:dyDescent="0.3">
      <c r="A109" s="6" t="str">
        <f>IF(PLANEJAMENTO!A109="","",PLANEJAMENTO!A109)</f>
        <v>BSA067TM</v>
      </c>
      <c r="B109" s="6" t="str">
        <f>IF(PLANEJAMENTO!B109="","",PLANEJAMENTO!B109)</f>
        <v>contel-108</v>
      </c>
      <c r="C109" s="6" t="str">
        <f>IF(PLANEJAMENTO!D109="","",PLANEJAMENTO!D109)</f>
        <v>BRASILIA</v>
      </c>
      <c r="D109" s="6" t="str">
        <f>IF(PLANEJAMENTO!C109="","",PLANEJAMENTO!C109)</f>
        <v>ATC</v>
      </c>
      <c r="E109" s="1">
        <f>IF(PLANEJAMENTO!G109="","",PLANEJAMENTO!G109)</f>
        <v>1808</v>
      </c>
      <c r="F109">
        <f t="shared" si="9"/>
        <v>48</v>
      </c>
      <c r="G109" s="5">
        <v>46066</v>
      </c>
      <c r="H109" s="5">
        <v>46113</v>
      </c>
      <c r="I109" s="10" t="str">
        <f t="shared" ca="1" si="10"/>
        <v>🕓 EM ANDAMENTO</v>
      </c>
      <c r="J109" s="1">
        <f t="shared" ca="1" si="11"/>
        <v>14</v>
      </c>
    </row>
    <row r="110" spans="1:11" ht="15" customHeight="1" x14ac:dyDescent="0.3">
      <c r="A110" s="6" t="str">
        <f>IF(PLANEJAMENTO!A110="","",PLANEJAMENTO!A110)</f>
        <v>CFR001VV</v>
      </c>
      <c r="B110" s="6" t="str">
        <f>IF(PLANEJAMENTO!B110="","",PLANEJAMENTO!B110)</f>
        <v>contel-109</v>
      </c>
      <c r="C110" s="6" t="str">
        <f>IF(PLANEJAMENTO!D110="","",PLANEJAMENTO!D110)</f>
        <v>CABO FRIO</v>
      </c>
      <c r="D110" s="6" t="str">
        <f>IF(PLANEJAMENTO!C110="","",PLANEJAMENTO!C110)</f>
        <v>ATC</v>
      </c>
      <c r="E110" s="1">
        <f>IF(PLANEJAMENTO!G110="","",PLANEJAMENTO!G110)</f>
        <v>1717</v>
      </c>
      <c r="F110">
        <f t="shared" si="9"/>
        <v>47</v>
      </c>
      <c r="G110" s="5">
        <v>46090</v>
      </c>
      <c r="H110" s="5">
        <v>46136</v>
      </c>
      <c r="I110" s="10" t="str">
        <f t="shared" ca="1" si="10"/>
        <v>🕓 EM ANDAMENTO</v>
      </c>
      <c r="J110" s="1">
        <f t="shared" ca="1" si="11"/>
        <v>37</v>
      </c>
    </row>
    <row r="111" spans="1:11" ht="15" customHeight="1" x14ac:dyDescent="0.3">
      <c r="A111" s="6" t="str">
        <f>IF(PLANEJAMENTO!A111="","",PLANEJAMENTO!A111)</f>
        <v>CBF003B1</v>
      </c>
      <c r="B111" s="6" t="str">
        <f>IF(PLANEJAMENTO!B111="","",PLANEJAMENTO!B111)</f>
        <v>contel-110</v>
      </c>
      <c r="C111" s="6" t="str">
        <f>IF(PLANEJAMENTO!D111="","",PLANEJAMENTO!D111)</f>
        <v xml:space="preserve">CABO FRIO </v>
      </c>
      <c r="D111" s="6" t="str">
        <f>IF(PLANEJAMENTO!C111="","",PLANEJAMENTO!C111)</f>
        <v>ATC</v>
      </c>
      <c r="E111" s="1">
        <f>IF(PLANEJAMENTO!G111="","",PLANEJAMENTO!G111)</f>
        <v>1914</v>
      </c>
      <c r="F111" t="str">
        <f t="shared" si="9"/>
        <v/>
      </c>
      <c r="G111" s="5"/>
      <c r="H111" s="5"/>
      <c r="I111" s="10" t="str">
        <f t="shared" ca="1" si="10"/>
        <v>🕓 EM ANDAMENTO</v>
      </c>
      <c r="J111" s="1" t="str">
        <f t="shared" ca="1" si="11"/>
        <v/>
      </c>
    </row>
    <row r="112" spans="1:11" ht="15" customHeight="1" x14ac:dyDescent="0.3">
      <c r="A112" s="6" t="str">
        <f>IF(PLANEJAMENTO!A112="","",PLANEJAMENTO!A112)</f>
        <v>CBF004B1</v>
      </c>
      <c r="B112" s="6" t="str">
        <f>IF(PLANEJAMENTO!B112="","",PLANEJAMENTO!B112)</f>
        <v>contel-111</v>
      </c>
      <c r="C112" s="6" t="str">
        <f>IF(PLANEJAMENTO!D112="","",PLANEJAMENTO!D112)</f>
        <v>CABO FRIO</v>
      </c>
      <c r="D112" s="6" t="str">
        <f>IF(PLANEJAMENTO!C112="","",PLANEJAMENTO!C112)</f>
        <v>ATC</v>
      </c>
      <c r="E112" s="1">
        <f>IF(PLANEJAMENTO!G112="","",PLANEJAMENTO!G112)</f>
        <v>1816</v>
      </c>
      <c r="F112" t="str">
        <f t="shared" si="9"/>
        <v/>
      </c>
      <c r="G112" s="5"/>
      <c r="H112" s="5"/>
      <c r="I112" s="10" t="str">
        <f t="shared" ca="1" si="10"/>
        <v>🕓 EM ANDAMENTO</v>
      </c>
      <c r="J112" s="1" t="str">
        <f t="shared" ca="1" si="11"/>
        <v/>
      </c>
    </row>
    <row r="113" spans="1:11" ht="15" customHeight="1" x14ac:dyDescent="0.3">
      <c r="A113" s="6" t="str">
        <f>IF(PLANEJAMENTO!A113="","",PLANEJAMENTO!A113)</f>
        <v>VVL004NX</v>
      </c>
      <c r="B113" s="6" t="str">
        <f>IF(PLANEJAMENTO!B113="","",PLANEJAMENTO!B113)</f>
        <v>contel-112</v>
      </c>
      <c r="C113" s="6" t="str">
        <f>IF(PLANEJAMENTO!D113="","",PLANEJAMENTO!D113)</f>
        <v>VILA VELHA</v>
      </c>
      <c r="D113" s="6" t="str">
        <f>IF(PLANEJAMENTO!C113="","",PLANEJAMENTO!C113)</f>
        <v>ATC</v>
      </c>
      <c r="E113" s="1">
        <f>IF(PLANEJAMENTO!G113="","",PLANEJAMENTO!G113)</f>
        <v>1760</v>
      </c>
      <c r="F113">
        <f t="shared" si="9"/>
        <v>32</v>
      </c>
      <c r="G113" s="5">
        <v>46090</v>
      </c>
      <c r="H113" s="5">
        <v>46121</v>
      </c>
      <c r="I113" s="10" t="str">
        <f t="shared" ca="1" si="10"/>
        <v>🕓 EM ANDAMENTO</v>
      </c>
      <c r="J113" s="1">
        <f t="shared" ca="1" si="11"/>
        <v>22</v>
      </c>
    </row>
    <row r="114" spans="1:11" ht="15" customHeight="1" x14ac:dyDescent="0.3">
      <c r="A114" s="6" t="str">
        <f>IF(PLANEJAMENTO!A114="","",PLANEJAMENTO!A114)</f>
        <v>MZF001B2</v>
      </c>
      <c r="B114" s="6" t="str">
        <f>IF(PLANEJAMENTO!B114="","",PLANEJAMENTO!B114)</f>
        <v>contel-113</v>
      </c>
      <c r="C114" s="6" t="str">
        <f>IF(PLANEJAMENTO!D114="","",PLANEJAMENTO!D114)</f>
        <v>MUNIZ DE FREIRE</v>
      </c>
      <c r="D114" s="6" t="str">
        <f>IF(PLANEJAMENTO!C114="","",PLANEJAMENTO!C114)</f>
        <v>ATC</v>
      </c>
      <c r="E114" s="1">
        <f>IF(PLANEJAMENTO!G114="","",PLANEJAMENTO!G114)</f>
        <v>1776</v>
      </c>
      <c r="F114">
        <f t="shared" si="9"/>
        <v>19</v>
      </c>
      <c r="G114" s="5">
        <v>46080</v>
      </c>
      <c r="H114" s="5">
        <v>46098</v>
      </c>
      <c r="I114" s="10" t="str">
        <f t="shared" ca="1" si="10"/>
        <v>⏰ ATRASADO</v>
      </c>
      <c r="J114" s="1">
        <f t="shared" ca="1" si="11"/>
        <v>-1</v>
      </c>
    </row>
    <row r="115" spans="1:11" ht="15" customHeight="1" x14ac:dyDescent="0.3">
      <c r="A115" s="6" t="str">
        <f>IF(PLANEJAMENTO!A115="","",PLANEJAMENTO!A115)</f>
        <v>CRC004VV</v>
      </c>
      <c r="B115" s="6" t="str">
        <f>IF(PLANEJAMENTO!B115="","",PLANEJAMENTO!B115)</f>
        <v>contel-114</v>
      </c>
      <c r="C115" s="6" t="str">
        <f>IF(PLANEJAMENTO!D115="","",PLANEJAMENTO!D115)</f>
        <v>CARIACICA</v>
      </c>
      <c r="D115" s="6" t="str">
        <f>IF(PLANEJAMENTO!C115="","",PLANEJAMENTO!C115)</f>
        <v>ATC</v>
      </c>
      <c r="E115" s="1">
        <f>IF(PLANEJAMENTO!G115="","",PLANEJAMENTO!G115)</f>
        <v>1817</v>
      </c>
      <c r="F115" t="str">
        <f t="shared" si="9"/>
        <v/>
      </c>
      <c r="G115" s="5"/>
      <c r="H115" s="5"/>
      <c r="I115" s="10" t="str">
        <f t="shared" ca="1" si="10"/>
        <v>🕓 EM ANDAMENTO</v>
      </c>
      <c r="J115" s="1" t="str">
        <f t="shared" ca="1" si="11"/>
        <v/>
      </c>
    </row>
    <row r="116" spans="1:11" ht="15" customHeight="1" x14ac:dyDescent="0.3">
      <c r="A116" s="6" t="str">
        <f>IF(PLANEJAMENTO!A116="","",PLANEJAMENTO!A116)</f>
        <v>ACZ003T1</v>
      </c>
      <c r="B116" s="6" t="str">
        <f>IF(PLANEJAMENTO!B116="","",PLANEJAMENTO!B116)</f>
        <v>contel-115</v>
      </c>
      <c r="C116" s="6" t="str">
        <f>IF(PLANEJAMENTO!D116="","",PLANEJAMENTO!D116)</f>
        <v>ARACRUZ</v>
      </c>
      <c r="D116" s="6" t="str">
        <f>IF(PLANEJAMENTO!C116="","",PLANEJAMENTO!C116)</f>
        <v>ATC</v>
      </c>
      <c r="E116" s="1">
        <f>IF(PLANEJAMENTO!G116="","",PLANEJAMENTO!G116)</f>
        <v>1759</v>
      </c>
      <c r="F116">
        <f t="shared" si="9"/>
        <v>42</v>
      </c>
      <c r="G116" s="5">
        <v>46079</v>
      </c>
      <c r="H116" s="5">
        <v>46120</v>
      </c>
      <c r="I116" s="10" t="str">
        <f t="shared" ca="1" si="10"/>
        <v>🕓 EM ANDAMENTO</v>
      </c>
      <c r="J116" s="1">
        <f t="shared" ca="1" si="11"/>
        <v>21</v>
      </c>
    </row>
    <row r="117" spans="1:11" ht="15" customHeight="1" x14ac:dyDescent="0.3">
      <c r="A117" s="6" t="str">
        <f>IF(PLANEJAMENTO!A117="","",PLANEJAMENTO!A117)</f>
        <v>CBF013T2</v>
      </c>
      <c r="B117" s="6" t="str">
        <f>IF(PLANEJAMENTO!B117="","",PLANEJAMENTO!B117)</f>
        <v>contel-116</v>
      </c>
      <c r="C117" s="6" t="str">
        <f>IF(PLANEJAMENTO!D117="","",PLANEJAMENTO!D117)</f>
        <v xml:space="preserve">CABO FRIO </v>
      </c>
      <c r="D117" s="6" t="str">
        <f>IF(PLANEJAMENTO!C117="","",PLANEJAMENTO!C117)</f>
        <v>ATC</v>
      </c>
      <c r="E117" s="1">
        <f>IF(PLANEJAMENTO!G117="","",PLANEJAMENTO!G117)</f>
        <v>1718</v>
      </c>
      <c r="F117">
        <f t="shared" si="9"/>
        <v>32</v>
      </c>
      <c r="G117" s="5">
        <v>46090</v>
      </c>
      <c r="H117" s="5">
        <v>46121</v>
      </c>
      <c r="I117" s="10" t="str">
        <f t="shared" ca="1" si="10"/>
        <v>🕓 EM ANDAMENTO</v>
      </c>
      <c r="J117" s="1">
        <f t="shared" ca="1" si="11"/>
        <v>22</v>
      </c>
    </row>
    <row r="118" spans="1:11" ht="15" customHeight="1" x14ac:dyDescent="0.3">
      <c r="A118" s="6" t="str">
        <f>IF(PLANEJAMENTO!A118="","",PLANEJAMENTO!A118)</f>
        <v>ETA001B3</v>
      </c>
      <c r="B118" s="6" t="str">
        <f>IF(PLANEJAMENTO!B118="","",PLANEJAMENTO!B118)</f>
        <v>contel-117</v>
      </c>
      <c r="C118" s="6" t="str">
        <f>IF(PLANEJAMENTO!D118="","",PLANEJAMENTO!D118)</f>
        <v>ITUETA</v>
      </c>
      <c r="D118" s="6" t="str">
        <f>IF(PLANEJAMENTO!C118="","",PLANEJAMENTO!C118)</f>
        <v>ATC</v>
      </c>
      <c r="E118" s="1">
        <f>IF(PLANEJAMENTO!G118="","",PLANEJAMENTO!G118)</f>
        <v>1780</v>
      </c>
      <c r="F118">
        <f t="shared" si="9"/>
        <v>29</v>
      </c>
      <c r="G118" s="5">
        <v>46080</v>
      </c>
      <c r="H118" s="5">
        <v>46108</v>
      </c>
      <c r="I118" s="10" t="str">
        <f t="shared" ca="1" si="10"/>
        <v>🕓 EM ANDAMENTO</v>
      </c>
      <c r="J118" s="1">
        <f t="shared" ca="1" si="11"/>
        <v>9</v>
      </c>
    </row>
    <row r="119" spans="1:11" ht="15" customHeight="1" x14ac:dyDescent="0.3">
      <c r="A119" s="6" t="str">
        <f>IF(PLANEJAMENTO!A119="","",PLANEJAMENTO!A119)</f>
        <v>FUD001TM</v>
      </c>
      <c r="B119" s="6" t="str">
        <f>IF(PLANEJAMENTO!B119="","",PLANEJAMENTO!B119)</f>
        <v>contel-118</v>
      </c>
      <c r="C119" s="6" t="str">
        <f>IF(PLANEJAMENTO!D119="","",PLANEJAMENTO!D119)</f>
        <v>FUNDÃO</v>
      </c>
      <c r="D119" s="6" t="str">
        <f>IF(PLANEJAMENTO!C119="","",PLANEJAMENTO!C119)</f>
        <v>ATC</v>
      </c>
      <c r="E119" s="1">
        <f>IF(PLANEJAMENTO!G119="","",PLANEJAMENTO!G119)</f>
        <v>1775</v>
      </c>
      <c r="F119">
        <f t="shared" si="9"/>
        <v>32</v>
      </c>
      <c r="G119" s="5">
        <v>46090</v>
      </c>
      <c r="H119" s="5">
        <v>46121</v>
      </c>
      <c r="I119" s="10" t="str">
        <f t="shared" ca="1" si="10"/>
        <v>🕓 EM ANDAMENTO</v>
      </c>
      <c r="J119" s="1">
        <f t="shared" ca="1" si="11"/>
        <v>22</v>
      </c>
    </row>
    <row r="120" spans="1:11" ht="15" customHeight="1" x14ac:dyDescent="0.3">
      <c r="A120" s="6" t="str">
        <f>IF(PLANEJAMENTO!A120="","",PLANEJAMENTO!A120)</f>
        <v>CVL003VV</v>
      </c>
      <c r="B120" s="6" t="str">
        <f>IF(PLANEJAMENTO!B120="","",PLANEJAMENTO!B120)</f>
        <v>contel-119</v>
      </c>
      <c r="C120" s="6" t="str">
        <f>IF(PLANEJAMENTO!D120="","",PLANEJAMENTO!D120)</f>
        <v>CURVELO</v>
      </c>
      <c r="D120" s="6" t="str">
        <f>IF(PLANEJAMENTO!C120="","",PLANEJAMENTO!C120)</f>
        <v>ATC</v>
      </c>
      <c r="E120" s="1">
        <f>IF(PLANEJAMENTO!G120="","",PLANEJAMENTO!G120)</f>
        <v>1767</v>
      </c>
      <c r="F120" t="str">
        <f t="shared" si="9"/>
        <v/>
      </c>
      <c r="G120" s="5"/>
      <c r="H120" s="5"/>
      <c r="I120" s="10" t="str">
        <f t="shared" ca="1" si="10"/>
        <v>🕓 EM ANDAMENTO</v>
      </c>
      <c r="J120" s="1" t="str">
        <f t="shared" ca="1" si="11"/>
        <v/>
      </c>
    </row>
    <row r="121" spans="1:11" ht="15" customHeight="1" x14ac:dyDescent="0.3">
      <c r="A121" s="6" t="str">
        <f>IF(PLANEJAMENTO!A121="","",PLANEJAMENTO!A121)</f>
        <v>22080028-2</v>
      </c>
      <c r="B121" s="6" t="str">
        <f>IF(PLANEJAMENTO!B121="","",PLANEJAMENTO!B121)</f>
        <v>contel-120</v>
      </c>
      <c r="C121" s="6" t="str">
        <f>IF(PLANEJAMENTO!D121="","",PLANEJAMENTO!D121)</f>
        <v>SÃO FRANCISCO DE ITABAPOANA</v>
      </c>
      <c r="D121" s="6" t="str">
        <f>IF(PLANEJAMENTO!C121="","",PLANEJAMENTO!C121)</f>
        <v>IHS</v>
      </c>
      <c r="E121" s="1">
        <f>IF(PLANEJAMENTO!G121="","",PLANEJAMENTO!G121)</f>
        <v>1910</v>
      </c>
      <c r="F121">
        <f t="shared" si="9"/>
        <v>43</v>
      </c>
      <c r="G121" s="5">
        <v>46072</v>
      </c>
      <c r="H121" s="5">
        <v>46114</v>
      </c>
      <c r="I121" s="10" t="str">
        <f t="shared" ca="1" si="10"/>
        <v>🕓 EM ANDAMENTO</v>
      </c>
      <c r="J121" s="1">
        <f t="shared" ca="1" si="11"/>
        <v>15</v>
      </c>
    </row>
    <row r="122" spans="1:11" ht="15" customHeight="1" x14ac:dyDescent="0.3">
      <c r="A122" s="6" t="str">
        <f>IF(PLANEJAMENTO!A122="","",PLANEJAMENTO!A122)</f>
        <v>NEO JMA</v>
      </c>
      <c r="B122" s="6" t="str">
        <f>IF(PLANEJAMENTO!B122="","",PLANEJAMENTO!B122)</f>
        <v>contel-121</v>
      </c>
      <c r="C122" s="6" t="str">
        <f>IF(PLANEJAMENTO!D122="","",PLANEJAMENTO!D122)</f>
        <v>RIBEIRÃO</v>
      </c>
      <c r="D122" s="6" t="str">
        <f>IF(PLANEJAMENTO!C122="","",PLANEJAMENTO!C122)</f>
        <v>NEOENERGIA</v>
      </c>
      <c r="E122" s="1">
        <f>IF(PLANEJAMENTO!G122="","",PLANEJAMENTO!G122)</f>
        <v>1904</v>
      </c>
      <c r="F122">
        <f t="shared" si="9"/>
        <v>11</v>
      </c>
      <c r="G122" s="5">
        <v>46117</v>
      </c>
      <c r="H122" s="5">
        <v>46127</v>
      </c>
      <c r="I122" s="10" t="str">
        <f t="shared" si="10"/>
        <v>⚠️ PARALISADO</v>
      </c>
      <c r="J122" s="1">
        <f t="shared" ca="1" si="11"/>
        <v>28</v>
      </c>
      <c r="K122" t="s">
        <v>584</v>
      </c>
    </row>
    <row r="123" spans="1:11" ht="15" customHeight="1" x14ac:dyDescent="0.3">
      <c r="A123" s="6" t="str">
        <f>IF(PLANEJAMENTO!A123="","",PLANEJAMENTO!A123)</f>
        <v>NEO SUP</v>
      </c>
      <c r="B123" s="6" t="str">
        <f>IF(PLANEJAMENTO!B123="","",PLANEJAMENTO!B123)</f>
        <v>contel-122</v>
      </c>
      <c r="C123" s="6" t="str">
        <f>IF(PLANEJAMENTO!D123="","",PLANEJAMENTO!D123)</f>
        <v>CABO DE SANTO AGOSTINHO</v>
      </c>
      <c r="D123" s="6" t="str">
        <f>IF(PLANEJAMENTO!C123="","",PLANEJAMENTO!C123)</f>
        <v>NEOENERGIA</v>
      </c>
      <c r="E123" s="1">
        <f>IF(PLANEJAMENTO!G123="","",PLANEJAMENTO!G123)</f>
        <v>1904</v>
      </c>
      <c r="F123">
        <f t="shared" si="9"/>
        <v>11</v>
      </c>
      <c r="G123" s="5">
        <v>46117</v>
      </c>
      <c r="H123" s="5">
        <v>46127</v>
      </c>
      <c r="I123" s="10" t="str">
        <f t="shared" si="10"/>
        <v>⚠️ PARALISADO</v>
      </c>
      <c r="J123" s="1">
        <f t="shared" ca="1" si="11"/>
        <v>28</v>
      </c>
      <c r="K123" t="s">
        <v>584</v>
      </c>
    </row>
    <row r="124" spans="1:11" ht="15" customHeight="1" x14ac:dyDescent="0.3">
      <c r="A124" s="6" t="str">
        <f>IF(PLANEJAMENTO!A124="","",PLANEJAMENTO!A124)</f>
        <v>NEO GUT</v>
      </c>
      <c r="B124" s="6" t="str">
        <f>IF(PLANEJAMENTO!B124="","",PLANEJAMENTO!B124)</f>
        <v>contel-123</v>
      </c>
      <c r="C124" s="6" t="str">
        <f>IF(PLANEJAMENTO!D124="","",PLANEJAMENTO!D124)</f>
        <v>GUARATINGA</v>
      </c>
      <c r="D124" s="6" t="str">
        <f>IF(PLANEJAMENTO!C124="","",PLANEJAMENTO!C124)</f>
        <v>NEOENERGIA</v>
      </c>
      <c r="E124" s="1">
        <f>IF(PLANEJAMENTO!G124="","",PLANEJAMENTO!G124)</f>
        <v>1906</v>
      </c>
      <c r="F124">
        <f t="shared" si="9"/>
        <v>11</v>
      </c>
      <c r="G124" s="5">
        <v>46117</v>
      </c>
      <c r="H124" s="5">
        <v>46127</v>
      </c>
      <c r="I124" s="10" t="str">
        <f t="shared" si="10"/>
        <v>⚠️ PARALISADO</v>
      </c>
      <c r="J124" s="1">
        <f t="shared" ca="1" si="11"/>
        <v>28</v>
      </c>
      <c r="K124" t="s">
        <v>584</v>
      </c>
    </row>
    <row r="125" spans="1:11" ht="15" customHeight="1" x14ac:dyDescent="0.3">
      <c r="A125" s="6" t="str">
        <f>IF(PLANEJAMENTO!A125="","",PLANEJAMENTO!A125)</f>
        <v>NEO REP ZBL</v>
      </c>
      <c r="B125" s="6" t="str">
        <f>IF(PLANEJAMENTO!B125="","",PLANEJAMENTO!B125)</f>
        <v>contel-124</v>
      </c>
      <c r="C125" s="6" t="str">
        <f>IF(PLANEJAMENTO!D125="","",PLANEJAMENTO!D125)</f>
        <v>CORAÇÃO DE MARIA</v>
      </c>
      <c r="D125" s="6" t="str">
        <f>IF(PLANEJAMENTO!C125="","",PLANEJAMENTO!C125)</f>
        <v>NEOENERGIA</v>
      </c>
      <c r="E125" s="1">
        <f>IF(PLANEJAMENTO!G125="","",PLANEJAMENTO!G125)</f>
        <v>1906</v>
      </c>
      <c r="F125">
        <f t="shared" si="9"/>
        <v>11</v>
      </c>
      <c r="G125" s="5">
        <v>46117</v>
      </c>
      <c r="H125" s="5">
        <v>46127</v>
      </c>
      <c r="I125" s="10" t="str">
        <f t="shared" si="10"/>
        <v>⚠️ PARALISADO</v>
      </c>
      <c r="J125" s="1">
        <f t="shared" ca="1" si="11"/>
        <v>28</v>
      </c>
      <c r="K125" t="s">
        <v>584</v>
      </c>
    </row>
    <row r="126" spans="1:11" ht="15" customHeight="1" x14ac:dyDescent="0.3">
      <c r="A126" s="6" t="str">
        <f>IF(PLANEJAMENTO!A126="","",PLANEJAMENTO!A126)</f>
        <v>NEO SED</v>
      </c>
      <c r="B126" s="6" t="str">
        <f>IF(PLANEJAMENTO!B126="","",PLANEJAMENTO!B126)</f>
        <v>contel-125</v>
      </c>
      <c r="C126" s="6" t="str">
        <f>IF(PLANEJAMENTO!D126="","",PLANEJAMENTO!D126)</f>
        <v>SANTO ESTEVÃO</v>
      </c>
      <c r="D126" s="6" t="str">
        <f>IF(PLANEJAMENTO!C126="","",PLANEJAMENTO!C126)</f>
        <v>NEOENERGIA</v>
      </c>
      <c r="E126" s="1">
        <f>IF(PLANEJAMENTO!G126="","",PLANEJAMENTO!G126)</f>
        <v>1906</v>
      </c>
      <c r="F126">
        <f t="shared" si="9"/>
        <v>11</v>
      </c>
      <c r="G126" s="5">
        <v>46117</v>
      </c>
      <c r="H126" s="5">
        <v>46127</v>
      </c>
      <c r="I126" s="10" t="str">
        <f t="shared" si="10"/>
        <v>⚠️ PARALISADO</v>
      </c>
      <c r="J126" s="1">
        <f t="shared" ca="1" si="11"/>
        <v>28</v>
      </c>
      <c r="K126" t="s">
        <v>584</v>
      </c>
    </row>
    <row r="127" spans="1:11" ht="15" customHeight="1" x14ac:dyDescent="0.3">
      <c r="A127" s="6" t="str">
        <f>IF(PLANEJAMENTO!A127="","",PLANEJAMENTO!A127)</f>
        <v>NEO BRN</v>
      </c>
      <c r="B127" s="6" t="str">
        <f>IF(PLANEJAMENTO!B127="","",PLANEJAMENTO!B127)</f>
        <v>contel-126</v>
      </c>
      <c r="C127" s="6" t="str">
        <f>IF(PLANEJAMENTO!D127="","",PLANEJAMENTO!D127)</f>
        <v>BARREIRAS</v>
      </c>
      <c r="D127" s="6" t="str">
        <f>IF(PLANEJAMENTO!C127="","",PLANEJAMENTO!C127)</f>
        <v>NEOENERGIA</v>
      </c>
      <c r="E127" s="1">
        <f>IF(PLANEJAMENTO!G127="","",PLANEJAMENTO!G127)</f>
        <v>1906</v>
      </c>
      <c r="F127">
        <f t="shared" si="9"/>
        <v>11</v>
      </c>
      <c r="G127" s="5">
        <v>46117</v>
      </c>
      <c r="H127" s="5">
        <v>46127</v>
      </c>
      <c r="I127" s="10" t="str">
        <f t="shared" si="10"/>
        <v>⚠️ PARALISADO</v>
      </c>
      <c r="J127" s="1">
        <f t="shared" ca="1" si="11"/>
        <v>28</v>
      </c>
      <c r="K127" t="s">
        <v>584</v>
      </c>
    </row>
    <row r="128" spans="1:11" ht="15" customHeight="1" x14ac:dyDescent="0.3">
      <c r="A128" s="6" t="str">
        <f>IF(PLANEJAMENTO!A128="","",PLANEJAMENTO!A128)</f>
        <v>NEO IRC</v>
      </c>
      <c r="B128" s="6" t="str">
        <f>IF(PLANEJAMENTO!B128="","",PLANEJAMENTO!B128)</f>
        <v>contel-127</v>
      </c>
      <c r="C128" s="6" t="str">
        <f>IF(PLANEJAMENTO!D128="","",PLANEJAMENTO!D128)</f>
        <v>MIGUEL CAMON</v>
      </c>
      <c r="D128" s="6" t="str">
        <f>IF(PLANEJAMENTO!C128="","",PLANEJAMENTO!C128)</f>
        <v>NEOENERGIA</v>
      </c>
      <c r="E128" s="1">
        <f>IF(PLANEJAMENTO!G128="","",PLANEJAMENTO!G128)</f>
        <v>1906</v>
      </c>
      <c r="F128">
        <f t="shared" si="9"/>
        <v>11</v>
      </c>
      <c r="G128" s="5">
        <v>46117</v>
      </c>
      <c r="H128" s="5">
        <v>46127</v>
      </c>
      <c r="I128" s="10" t="str">
        <f t="shared" si="10"/>
        <v>⚠️ PARALISADO</v>
      </c>
      <c r="J128" s="1">
        <f t="shared" ca="1" si="11"/>
        <v>28</v>
      </c>
      <c r="K128" t="s">
        <v>584</v>
      </c>
    </row>
    <row r="129" spans="1:11" ht="15" customHeight="1" x14ac:dyDescent="0.3">
      <c r="A129" s="6" t="str">
        <f>IF(PLANEJAMENTO!A129="","",PLANEJAMENTO!A129)</f>
        <v>NEO ANC</v>
      </c>
      <c r="B129" s="6" t="str">
        <f>IF(PLANEJAMENTO!B129="","",PLANEJAMENTO!B129)</f>
        <v>contel-128</v>
      </c>
      <c r="C129" s="6" t="str">
        <f>IF(PLANEJAMENTO!D129="","",PLANEJAMENTO!D129)</f>
        <v>ANGICAL</v>
      </c>
      <c r="D129" s="6" t="str">
        <f>IF(PLANEJAMENTO!C129="","",PLANEJAMENTO!C129)</f>
        <v>NEOENERGIA</v>
      </c>
      <c r="E129" s="1">
        <f>IF(PLANEJAMENTO!G129="","",PLANEJAMENTO!G129)</f>
        <v>1906</v>
      </c>
      <c r="F129">
        <f t="shared" si="9"/>
        <v>11</v>
      </c>
      <c r="G129" s="5">
        <v>46117</v>
      </c>
      <c r="H129" s="5">
        <v>46127</v>
      </c>
      <c r="I129" s="10" t="str">
        <f t="shared" si="10"/>
        <v>⚠️ PARALISADO</v>
      </c>
      <c r="J129" s="1">
        <f t="shared" ca="1" si="11"/>
        <v>28</v>
      </c>
      <c r="K129" t="s">
        <v>584</v>
      </c>
    </row>
    <row r="130" spans="1:11" ht="15" customHeight="1" x14ac:dyDescent="0.3">
      <c r="A130" s="6" t="str">
        <f>IF(PLANEJAMENTO!A130="","",PLANEJAMENTO!A130)</f>
        <v>NEO BRB</v>
      </c>
      <c r="B130" s="6" t="str">
        <f>IF(PLANEJAMENTO!B130="","",PLANEJAMENTO!B130)</f>
        <v>contel-129</v>
      </c>
      <c r="C130" s="6" t="str">
        <f>IF(PLANEJAMENTO!D130="","",PLANEJAMENTO!D130)</f>
        <v>ITAPARICA</v>
      </c>
      <c r="D130" s="6" t="str">
        <f>IF(PLANEJAMENTO!C130="","",PLANEJAMENTO!C130)</f>
        <v>NEOENERGIA</v>
      </c>
      <c r="E130" s="1">
        <f>IF(PLANEJAMENTO!G130="","",PLANEJAMENTO!G130)</f>
        <v>1906</v>
      </c>
      <c r="F130">
        <f t="shared" ref="F130:F155" si="12">IF(AND(G130&lt;&gt;"",H130&lt;&gt;""),H130-G130+1,"")</f>
        <v>11</v>
      </c>
      <c r="G130" s="5">
        <v>46117</v>
      </c>
      <c r="H130" s="5">
        <v>46127</v>
      </c>
      <c r="I130" s="10" t="str">
        <f t="shared" ref="I130:I154" si="13">IF(K130="FINALIZADO","✅ CONCLUÍDO",
   IF(K130="PARALISADO","⚠️ PARALISADO",IF(K130="CANCELADO","🚫CANCELADO",
      IF(J130="","🕓 EM ANDAMENTO",
         IF(J130&lt;0,"⏰ ATRASADO",
            "🕓 EM ANDAMENTO"
         )
      )
   )
))</f>
        <v>⚠️ PARALISADO</v>
      </c>
      <c r="J130" s="1">
        <f t="shared" ref="J130:J155" ca="1" si="14">IF(K130="FINALIZADO",0,IF(ISBLANK(H130),"",H130-TODAY()))</f>
        <v>28</v>
      </c>
      <c r="K130" t="s">
        <v>584</v>
      </c>
    </row>
    <row r="131" spans="1:11" ht="15" customHeight="1" x14ac:dyDescent="0.3">
      <c r="A131" s="6" t="str">
        <f>IF(PLANEJAMENTO!A131="","",PLANEJAMENTO!A131)</f>
        <v>MAPLN001</v>
      </c>
      <c r="B131" s="6" t="str">
        <f>IF(PLANEJAMENTO!B131="","",PLANEJAMENTO!B131)</f>
        <v>contel-130</v>
      </c>
      <c r="C131" s="6" t="str">
        <f>IF(PLANEJAMENTO!D131="","",PLANEJAMENTO!D131)</f>
        <v>PAULINHO NEVES</v>
      </c>
      <c r="D131" s="6" t="str">
        <f>IF(PLANEJAMENTO!C131="","",PLANEJAMENTO!C131)</f>
        <v>HLB</v>
      </c>
      <c r="E131" s="1">
        <f>IF(PLANEJAMENTO!G131="","",PLANEJAMENTO!G131)</f>
        <v>1917</v>
      </c>
      <c r="F131">
        <f t="shared" si="12"/>
        <v>56</v>
      </c>
      <c r="G131" s="5">
        <v>46077</v>
      </c>
      <c r="H131" s="5">
        <v>46132</v>
      </c>
      <c r="I131" s="10" t="str">
        <f t="shared" ca="1" si="13"/>
        <v>🕓 EM ANDAMENTO</v>
      </c>
      <c r="J131" s="1">
        <f t="shared" ca="1" si="14"/>
        <v>33</v>
      </c>
    </row>
    <row r="132" spans="1:11" ht="15" customHeight="1" x14ac:dyDescent="0.3">
      <c r="A132" s="6" t="str">
        <f>IF(PLANEJAMENTO!A132="","",PLANEJAMENTO!A132)</f>
        <v>SPNDT007</v>
      </c>
      <c r="B132" s="6" t="str">
        <f>IF(PLANEJAMENTO!B132="","",PLANEJAMENTO!B132)</f>
        <v>contel-131</v>
      </c>
      <c r="C132" s="6" t="str">
        <f>IF(PLANEJAMENTO!D132="","",PLANEJAMENTO!D132)</f>
        <v>INDAIATUBA</v>
      </c>
      <c r="D132" s="6" t="str">
        <f>IF(PLANEJAMENTO!C132="","",PLANEJAMENTO!C132)</f>
        <v>HLB</v>
      </c>
      <c r="E132" s="1">
        <f>IF(PLANEJAMENTO!G132="","",PLANEJAMENTO!G132)</f>
        <v>1916</v>
      </c>
      <c r="F132">
        <f t="shared" si="12"/>
        <v>46</v>
      </c>
      <c r="G132" s="5">
        <v>46077</v>
      </c>
      <c r="H132" s="5">
        <v>46122</v>
      </c>
      <c r="I132" s="10" t="str">
        <f t="shared" ca="1" si="13"/>
        <v>🕓 EM ANDAMENTO</v>
      </c>
      <c r="J132" s="1">
        <f t="shared" ca="1" si="14"/>
        <v>23</v>
      </c>
    </row>
    <row r="133" spans="1:11" ht="15" customHeight="1" x14ac:dyDescent="0.3">
      <c r="A133" s="6" t="str">
        <f>IF(PLANEJAMENTO!A133="","",PLANEJAMENTO!A133)</f>
        <v>BR66801-A</v>
      </c>
      <c r="B133" s="6" t="str">
        <f>IF(PLANEJAMENTO!B133="","",PLANEJAMENTO!B133)</f>
        <v>contel-132</v>
      </c>
      <c r="C133" s="6" t="str">
        <f>IF(PLANEJAMENTO!D133="","",PLANEJAMENTO!D133)</f>
        <v>MACAÉ</v>
      </c>
      <c r="D133" s="6" t="str">
        <f>IF(PLANEJAMENTO!C133="","",PLANEJAMENTO!C133)</f>
        <v>SBA</v>
      </c>
      <c r="E133" s="1">
        <f>IF(PLANEJAMENTO!G133="","",PLANEJAMENTO!G133)</f>
        <v>1923</v>
      </c>
      <c r="F133">
        <f t="shared" si="12"/>
        <v>41</v>
      </c>
      <c r="G133" s="5">
        <v>46077</v>
      </c>
      <c r="H133" s="5">
        <v>46117</v>
      </c>
      <c r="I133" s="10" t="str">
        <f t="shared" ca="1" si="13"/>
        <v>🕓 EM ANDAMENTO</v>
      </c>
      <c r="J133" s="1">
        <f t="shared" ca="1" si="14"/>
        <v>18</v>
      </c>
    </row>
    <row r="134" spans="1:11" ht="15" customHeight="1" x14ac:dyDescent="0.3">
      <c r="A134" s="6" t="str">
        <f>IF(PLANEJAMENTO!A134="","",PLANEJAMENTO!A134)</f>
        <v>BR49629-A</v>
      </c>
      <c r="B134" s="6" t="str">
        <f>IF(PLANEJAMENTO!B134="","",PLANEJAMENTO!B134)</f>
        <v>contel-133</v>
      </c>
      <c r="C134" s="6" t="str">
        <f>IF(PLANEJAMENTO!D134="","",PLANEJAMENTO!D134)</f>
        <v>BERTIOGA</v>
      </c>
      <c r="D134" s="6" t="str">
        <f>IF(PLANEJAMENTO!C134="","",PLANEJAMENTO!C134)</f>
        <v>SBA</v>
      </c>
      <c r="E134" s="1">
        <f>IF(PLANEJAMENTO!G134="","",PLANEJAMENTO!G134)</f>
        <v>1915</v>
      </c>
      <c r="F134">
        <f t="shared" si="12"/>
        <v>25</v>
      </c>
      <c r="G134" s="5">
        <v>46077</v>
      </c>
      <c r="H134" s="5">
        <v>46101</v>
      </c>
      <c r="I134" s="10" t="str">
        <f t="shared" ca="1" si="13"/>
        <v>🕓 EM ANDAMENTO</v>
      </c>
      <c r="J134" s="1">
        <f t="shared" ca="1" si="14"/>
        <v>2</v>
      </c>
    </row>
    <row r="135" spans="1:11" ht="15" customHeight="1" x14ac:dyDescent="0.3">
      <c r="A135" s="6" t="str">
        <f>IF(PLANEJAMENTO!A135="","",PLANEJAMENTO!A135)</f>
        <v>BR51120-A</v>
      </c>
      <c r="B135" s="6" t="str">
        <f>IF(PLANEJAMENTO!B135="","",PLANEJAMENTO!B135)</f>
        <v>contel-134</v>
      </c>
      <c r="C135" s="6" t="str">
        <f>IF(PLANEJAMENTO!D135="","",PLANEJAMENTO!D135)</f>
        <v>ITANHAÉM</v>
      </c>
      <c r="D135" s="6" t="str">
        <f>IF(PLANEJAMENTO!C135="","",PLANEJAMENTO!C135)</f>
        <v>SBA</v>
      </c>
      <c r="E135" s="1">
        <f>IF(PLANEJAMENTO!G135="","",PLANEJAMENTO!G135)</f>
        <v>1926</v>
      </c>
      <c r="F135">
        <f t="shared" si="12"/>
        <v>56</v>
      </c>
      <c r="G135" s="5">
        <v>46077</v>
      </c>
      <c r="H135" s="5">
        <v>46132</v>
      </c>
      <c r="I135" s="10" t="str">
        <f t="shared" ca="1" si="13"/>
        <v>🕓 EM ANDAMENTO</v>
      </c>
      <c r="J135" s="1">
        <f t="shared" ca="1" si="14"/>
        <v>33</v>
      </c>
    </row>
    <row r="136" spans="1:11" ht="15" customHeight="1" x14ac:dyDescent="0.3">
      <c r="A136" s="6" t="str">
        <f>IF(PLANEJAMENTO!A136="","",PLANEJAMENTO!A136)</f>
        <v>MSNVN002</v>
      </c>
      <c r="B136" s="6" t="str">
        <f>IF(PLANEJAMENTO!B136="","",PLANEJAMENTO!B136)</f>
        <v>contel-135</v>
      </c>
      <c r="C136" s="6" t="str">
        <f>IF(PLANEJAMENTO!D136="","",PLANEJAMENTO!D136)</f>
        <v>NOVA ANDRADINA</v>
      </c>
      <c r="D136" s="6" t="str">
        <f>IF(PLANEJAMENTO!C136="","",PLANEJAMENTO!C136)</f>
        <v>HLB</v>
      </c>
      <c r="E136" s="1">
        <f>IF(PLANEJAMENTO!G136="","",PLANEJAMENTO!G136)</f>
        <v>1927</v>
      </c>
      <c r="F136">
        <f t="shared" si="12"/>
        <v>29</v>
      </c>
      <c r="G136" s="5">
        <v>46080</v>
      </c>
      <c r="H136" s="5">
        <v>46108</v>
      </c>
      <c r="I136" s="10" t="str">
        <f t="shared" ca="1" si="13"/>
        <v>🕓 EM ANDAMENTO</v>
      </c>
      <c r="J136" s="1">
        <f t="shared" ca="1" si="14"/>
        <v>9</v>
      </c>
    </row>
    <row r="137" spans="1:11" ht="15" customHeight="1" x14ac:dyDescent="0.3">
      <c r="A137" s="6" t="str">
        <f>IF(PLANEJAMENTO!A137="","",PLANEJAMENTO!A137)</f>
        <v>SP4-CDA-001</v>
      </c>
      <c r="B137" s="6" t="str">
        <f>IF(PLANEJAMENTO!B137="","",PLANEJAMENTO!B137)</f>
        <v>contel-136</v>
      </c>
      <c r="C137" s="6" t="str">
        <f>IF(PLANEJAMENTO!D137="","",PLANEJAMENTO!D137)</f>
        <v>CATANDUVA</v>
      </c>
      <c r="D137" s="6" t="str">
        <f>IF(PLANEJAMENTO!C137="","",PLANEJAMENTO!C137)</f>
        <v>HLB</v>
      </c>
      <c r="E137" s="1">
        <f>IF(PLANEJAMENTO!G137="","",PLANEJAMENTO!G137)</f>
        <v>1928</v>
      </c>
      <c r="F137">
        <f t="shared" si="12"/>
        <v>21</v>
      </c>
      <c r="G137" s="5">
        <v>46079</v>
      </c>
      <c r="H137" s="5">
        <v>46099</v>
      </c>
      <c r="I137" s="10" t="str">
        <f t="shared" ca="1" si="13"/>
        <v>🕓 EM ANDAMENTO</v>
      </c>
      <c r="J137" s="1">
        <f t="shared" ca="1" si="14"/>
        <v>0</v>
      </c>
    </row>
    <row r="138" spans="1:11" ht="15" customHeight="1" x14ac:dyDescent="0.3">
      <c r="A138" s="6" t="str">
        <f>IF(PLANEJAMENTO!A138="","",PLANEJAMENTO!A138)</f>
        <v>DVE001VV</v>
      </c>
      <c r="B138" s="6" t="str">
        <f>IF(PLANEJAMENTO!B138="","",PLANEJAMENTO!B138)</f>
        <v>contel-137</v>
      </c>
      <c r="C138" s="6" t="str">
        <f>IF(PLANEJAMENTO!D138="","",PLANEJAMENTO!D138)</f>
        <v>DIVINESIA</v>
      </c>
      <c r="D138" s="6" t="str">
        <f>IF(PLANEJAMENTO!C138="","",PLANEJAMENTO!C138)</f>
        <v>ATC</v>
      </c>
      <c r="E138" s="1">
        <f>IF(PLANEJAMENTO!G138="","",PLANEJAMENTO!G138)</f>
        <v>1766</v>
      </c>
      <c r="F138">
        <f t="shared" si="12"/>
        <v>34</v>
      </c>
      <c r="G138" s="5">
        <v>46079</v>
      </c>
      <c r="H138" s="5">
        <v>46112</v>
      </c>
      <c r="I138" s="10" t="str">
        <f t="shared" ca="1" si="13"/>
        <v>🕓 EM ANDAMENTO</v>
      </c>
      <c r="J138" s="1">
        <f t="shared" ca="1" si="14"/>
        <v>13</v>
      </c>
    </row>
    <row r="139" spans="1:11" ht="15" customHeight="1" x14ac:dyDescent="0.3">
      <c r="A139" s="6" t="str">
        <f>IF(PLANEJAMENTO!A139="","",PLANEJAMENTO!A139)</f>
        <v>BR-MG-BHE-01565</v>
      </c>
      <c r="B139" s="6" t="str">
        <f>IF(PLANEJAMENTO!B139="","",PLANEJAMENTO!B139)</f>
        <v>contel-138</v>
      </c>
      <c r="C139" s="6" t="str">
        <f>IF(PLANEJAMENTO!D139="","",PLANEJAMENTO!D139)</f>
        <v>BELO HORIZONTE</v>
      </c>
      <c r="D139" s="6" t="str">
        <f>IF(PLANEJAMENTO!C139="","",PLANEJAMENTO!C139)</f>
        <v>QMC</v>
      </c>
      <c r="E139" s="1">
        <f>IF(PLANEJAMENTO!G139="","",PLANEJAMENTO!G139)</f>
        <v>1937</v>
      </c>
      <c r="F139">
        <f t="shared" si="12"/>
        <v>29</v>
      </c>
      <c r="G139" s="5">
        <v>46084</v>
      </c>
      <c r="H139" s="5">
        <v>46112</v>
      </c>
      <c r="I139" s="10" t="str">
        <f t="shared" ca="1" si="13"/>
        <v>🕓 EM ANDAMENTO</v>
      </c>
      <c r="J139" s="1">
        <f t="shared" ca="1" si="14"/>
        <v>13</v>
      </c>
    </row>
    <row r="140" spans="1:11" ht="15" customHeight="1" x14ac:dyDescent="0.3">
      <c r="A140" s="6" t="str">
        <f>IF(PLANEJAMENTO!A140="","",PLANEJAMENTO!A140)</f>
        <v>BR-PR-LDB-00383</v>
      </c>
      <c r="B140" s="6" t="str">
        <f>IF(PLANEJAMENTO!B140="","",PLANEJAMENTO!B140)</f>
        <v>contel-139</v>
      </c>
      <c r="C140" s="6" t="str">
        <f>IF(PLANEJAMENTO!D140="","",PLANEJAMENTO!D140)</f>
        <v>LONDRINA</v>
      </c>
      <c r="D140" s="6" t="str">
        <f>IF(PLANEJAMENTO!C140="","",PLANEJAMENTO!C140)</f>
        <v>QMC</v>
      </c>
      <c r="E140" s="1">
        <f>IF(PLANEJAMENTO!G140="","",PLANEJAMENTO!G140)</f>
        <v>1934</v>
      </c>
      <c r="F140">
        <f t="shared" si="12"/>
        <v>29</v>
      </c>
      <c r="G140" s="5">
        <v>46084</v>
      </c>
      <c r="H140" s="5">
        <v>46112</v>
      </c>
      <c r="I140" s="10" t="str">
        <f t="shared" ca="1" si="13"/>
        <v>🕓 EM ANDAMENTO</v>
      </c>
      <c r="J140" s="1">
        <f t="shared" ca="1" si="14"/>
        <v>13</v>
      </c>
    </row>
    <row r="141" spans="1:11" ht="15" customHeight="1" x14ac:dyDescent="0.3">
      <c r="A141" s="6" t="str">
        <f>IF(PLANEJAMENTO!A141="","",PLANEJAMENTO!A141)</f>
        <v>BR-RJ-NIG-01608</v>
      </c>
      <c r="B141" s="6" t="str">
        <f>IF(PLANEJAMENTO!B141="","",PLANEJAMENTO!B141)</f>
        <v>contel-140</v>
      </c>
      <c r="C141" s="6" t="str">
        <f>IF(PLANEJAMENTO!D141="","",PLANEJAMENTO!D141)</f>
        <v>NOVA IGUAÇU</v>
      </c>
      <c r="D141" s="6" t="str">
        <f>IF(PLANEJAMENTO!C141="","",PLANEJAMENTO!C141)</f>
        <v>QMC</v>
      </c>
      <c r="E141" s="1">
        <f>IF(PLANEJAMENTO!G141="","",PLANEJAMENTO!G141)</f>
        <v>1935</v>
      </c>
      <c r="F141">
        <f t="shared" si="12"/>
        <v>29</v>
      </c>
      <c r="G141" s="5">
        <v>46084</v>
      </c>
      <c r="H141" s="5">
        <v>46112</v>
      </c>
      <c r="I141" s="10" t="str">
        <f t="shared" ca="1" si="13"/>
        <v>🕓 EM ANDAMENTO</v>
      </c>
      <c r="J141" s="1">
        <f t="shared" ca="1" si="14"/>
        <v>13</v>
      </c>
    </row>
    <row r="142" spans="1:11" ht="15" customHeight="1" x14ac:dyDescent="0.3">
      <c r="A142" s="6" t="str">
        <f>IF(PLANEJAMENTO!A142="","",PLANEJAMENTO!A142)</f>
        <v>BR-SC-SQX-01654</v>
      </c>
      <c r="B142" s="6" t="str">
        <f>IF(PLANEJAMENTO!B142="","",PLANEJAMENTO!B142)</f>
        <v>contel-141</v>
      </c>
      <c r="C142" s="6" t="str">
        <f>IF(PLANEJAMENTO!D142="","",PLANEJAMENTO!D142)</f>
        <v>SÃO MIGUEL DO OESTE</v>
      </c>
      <c r="D142" s="6" t="str">
        <f>IF(PLANEJAMENTO!C142="","",PLANEJAMENTO!C142)</f>
        <v>QMC</v>
      </c>
      <c r="E142" s="1">
        <f>IF(PLANEJAMENTO!G142="","",PLANEJAMENTO!G142)</f>
        <v>1936</v>
      </c>
      <c r="F142">
        <f t="shared" si="12"/>
        <v>29</v>
      </c>
      <c r="G142" s="5">
        <v>46084</v>
      </c>
      <c r="H142" s="5">
        <v>46112</v>
      </c>
      <c r="I142" s="10" t="str">
        <f t="shared" ca="1" si="13"/>
        <v>🕓 EM ANDAMENTO</v>
      </c>
      <c r="J142" s="1">
        <f t="shared" ca="1" si="14"/>
        <v>13</v>
      </c>
    </row>
    <row r="143" spans="1:11" ht="15" customHeight="1" x14ac:dyDescent="0.3">
      <c r="A143" s="6" t="str">
        <f>IF(PLANEJAMENTO!A143="","",PLANEJAMENTO!A143)</f>
        <v>BR-SP-SPO-01848</v>
      </c>
      <c r="B143" s="6" t="str">
        <f>IF(PLANEJAMENTO!B143="","",PLANEJAMENTO!B143)</f>
        <v>contel-142</v>
      </c>
      <c r="C143" s="6" t="str">
        <f>IF(PLANEJAMENTO!D143="","",PLANEJAMENTO!D143)</f>
        <v>SÃO PAULO</v>
      </c>
      <c r="D143" s="6" t="str">
        <f>IF(PLANEJAMENTO!C143="","",PLANEJAMENTO!C143)</f>
        <v>QMC</v>
      </c>
      <c r="E143" s="1">
        <f>IF(PLANEJAMENTO!G143="","",PLANEJAMENTO!G143)</f>
        <v>1938</v>
      </c>
      <c r="F143">
        <f t="shared" si="12"/>
        <v>29</v>
      </c>
      <c r="G143" s="5">
        <v>46084</v>
      </c>
      <c r="H143" s="5">
        <v>46112</v>
      </c>
      <c r="I143" s="10" t="str">
        <f t="shared" ca="1" si="13"/>
        <v>🕓 EM ANDAMENTO</v>
      </c>
      <c r="J143" s="1">
        <f t="shared" ca="1" si="14"/>
        <v>13</v>
      </c>
    </row>
    <row r="144" spans="1:11" ht="15" customHeight="1" x14ac:dyDescent="0.3">
      <c r="A144" s="6" t="str">
        <f>IF(PLANEJAMENTO!A144="","",PLANEJAMENTO!A144)</f>
        <v>BR-SP-TBS-00289</v>
      </c>
      <c r="B144" s="6" t="str">
        <f>IF(PLANEJAMENTO!B144="","",PLANEJAMENTO!B144)</f>
        <v>contel-143</v>
      </c>
      <c r="C144" s="6" t="str">
        <f>IF(PLANEJAMENTO!D144="","",PLANEJAMENTO!D144)</f>
        <v>TABOÂO DA SERRA</v>
      </c>
      <c r="D144" s="6" t="str">
        <f>IF(PLANEJAMENTO!C144="","",PLANEJAMENTO!C144)</f>
        <v>QMC</v>
      </c>
      <c r="E144" s="1">
        <f>IF(PLANEJAMENTO!G144="","",PLANEJAMENTO!G144)</f>
        <v>1939</v>
      </c>
      <c r="F144">
        <f t="shared" si="12"/>
        <v>29</v>
      </c>
      <c r="G144" s="5">
        <v>46084</v>
      </c>
      <c r="H144" s="5">
        <v>46112</v>
      </c>
      <c r="I144" s="10" t="str">
        <f t="shared" ca="1" si="13"/>
        <v>🕓 EM ANDAMENTO</v>
      </c>
      <c r="J144" s="1">
        <f t="shared" ca="1" si="14"/>
        <v>13</v>
      </c>
    </row>
    <row r="145" spans="1:11" ht="15" customHeight="1" x14ac:dyDescent="0.3">
      <c r="A145" s="6" t="str">
        <f>IF(PLANEJAMENTO!A145="","",PLANEJAMENTO!A145)</f>
        <v>BR-MG-COG-01032</v>
      </c>
      <c r="B145" s="6" t="str">
        <f>IF(PLANEJAMENTO!B145="","",PLANEJAMENTO!B145)</f>
        <v>contel-144</v>
      </c>
      <c r="C145" s="6" t="str">
        <f>IF(PLANEJAMENTO!D145="","",PLANEJAMENTO!D145)</f>
        <v>CONTAGEM</v>
      </c>
      <c r="D145" s="6" t="str">
        <f>IF(PLANEJAMENTO!C145="","",PLANEJAMENTO!C145)</f>
        <v>QMC</v>
      </c>
      <c r="E145" s="1">
        <f>IF(PLANEJAMENTO!G145="","",PLANEJAMENTO!G145)</f>
        <v>1933</v>
      </c>
      <c r="F145">
        <f t="shared" si="12"/>
        <v>29</v>
      </c>
      <c r="G145" s="5">
        <v>46084</v>
      </c>
      <c r="H145" s="5">
        <v>46112</v>
      </c>
      <c r="I145" s="10" t="str">
        <f t="shared" ca="1" si="13"/>
        <v>🕓 EM ANDAMENTO</v>
      </c>
      <c r="J145" s="1">
        <f t="shared" ca="1" si="14"/>
        <v>13</v>
      </c>
    </row>
    <row r="146" spans="1:11" ht="15" customHeight="1" x14ac:dyDescent="0.3">
      <c r="A146" s="6" t="str">
        <f>IF(PLANEJAMENTO!A146="","",PLANEJAMENTO!A146)</f>
        <v>RJO221B1</v>
      </c>
      <c r="B146" s="6" t="str">
        <f>IF(PLANEJAMENTO!B146="","",PLANEJAMENTO!B146)</f>
        <v>contel-145</v>
      </c>
      <c r="C146" s="6" t="str">
        <f>IF(PLANEJAMENTO!D146="","",PLANEJAMENTO!D146)</f>
        <v xml:space="preserve">RIO DE JANEIRO </v>
      </c>
      <c r="D146" s="6" t="str">
        <f>IF(PLANEJAMENTO!C146="","",PLANEJAMENTO!C146)</f>
        <v>ATC</v>
      </c>
      <c r="E146" s="1">
        <f>IF(PLANEJAMENTO!G146="","",PLANEJAMENTO!G146)</f>
        <v>1940</v>
      </c>
      <c r="F146" t="str">
        <f t="shared" si="12"/>
        <v/>
      </c>
      <c r="G146" s="5"/>
      <c r="H146" s="5"/>
      <c r="I146" s="10" t="str">
        <f t="shared" ca="1" si="13"/>
        <v>🕓 EM ANDAMENTO</v>
      </c>
      <c r="J146" s="1" t="str">
        <f t="shared" ca="1" si="14"/>
        <v/>
      </c>
    </row>
    <row r="147" spans="1:11" ht="15" customHeight="1" x14ac:dyDescent="0.3">
      <c r="A147" s="6" t="str">
        <f>IF(PLANEJAMENTO!A147="","",PLANEJAMENTO!A147)</f>
        <v>CUB010VV</v>
      </c>
      <c r="B147" s="6" t="str">
        <f>IF(PLANEJAMENTO!B147="","",PLANEJAMENTO!B147)</f>
        <v>contel-146</v>
      </c>
      <c r="C147" s="6" t="str">
        <f>IF(PLANEJAMENTO!D147="","",PLANEJAMENTO!D147)</f>
        <v>CUIABÁ</v>
      </c>
      <c r="D147" s="6" t="str">
        <f>IF(PLANEJAMENTO!C147="","",PLANEJAMENTO!C147)</f>
        <v>ATC</v>
      </c>
      <c r="E147" s="1">
        <f>IF(PLANEJAMENTO!G147="","",PLANEJAMENTO!G147)</f>
        <v>1932</v>
      </c>
      <c r="F147" t="str">
        <f t="shared" si="12"/>
        <v/>
      </c>
      <c r="G147" s="5"/>
      <c r="H147" s="5"/>
      <c r="I147" s="10" t="str">
        <f t="shared" ca="1" si="13"/>
        <v>🕓 EM ANDAMENTO</v>
      </c>
      <c r="J147" s="1" t="str">
        <f t="shared" ca="1" si="14"/>
        <v/>
      </c>
    </row>
    <row r="148" spans="1:11" ht="15" customHeight="1" x14ac:dyDescent="0.3">
      <c r="A148" s="6">
        <f>IF(PLANEJAMENTO!A148="","",PLANEJAMENTO!A148)</f>
        <v>61060148</v>
      </c>
      <c r="B148" s="6" t="str">
        <f>IF(PLANEJAMENTO!B148="","",PLANEJAMENTO!B148)</f>
        <v>contel-147</v>
      </c>
      <c r="C148" s="6" t="str">
        <f>IF(PLANEJAMENTO!D148="","",PLANEJAMENTO!D148)</f>
        <v>BRASILIA</v>
      </c>
      <c r="D148" s="6" t="str">
        <f>IF(PLANEJAMENTO!C148="","",PLANEJAMENTO!C148)</f>
        <v>IHS</v>
      </c>
      <c r="E148" s="1">
        <f>IF(PLANEJAMENTO!G148="","",PLANEJAMENTO!G148)</f>
        <v>1931</v>
      </c>
      <c r="F148">
        <f t="shared" si="12"/>
        <v>17</v>
      </c>
      <c r="G148" s="5">
        <v>46084</v>
      </c>
      <c r="H148" s="5">
        <v>46100</v>
      </c>
      <c r="I148" s="10" t="str">
        <f t="shared" ca="1" si="13"/>
        <v>🕓 EM ANDAMENTO</v>
      </c>
      <c r="J148" s="1">
        <f t="shared" ca="1" si="14"/>
        <v>1</v>
      </c>
    </row>
    <row r="149" spans="1:11" ht="15" customHeight="1" x14ac:dyDescent="0.3">
      <c r="A149" s="6" t="str">
        <f>IF(PLANEJAMENTO!A149="","",PLANEJAMENTO!A149)</f>
        <v>PRMGL001</v>
      </c>
      <c r="B149" s="6" t="str">
        <f>IF(PLANEJAMENTO!B149="","",PLANEJAMENTO!B149)</f>
        <v>contel-148</v>
      </c>
      <c r="C149" s="6" t="str">
        <f>IF(PLANEJAMENTO!D149="","",PLANEJAMENTO!D149)</f>
        <v>SÃO MIGUEL DO IGUAÇU</v>
      </c>
      <c r="D149" s="6" t="str">
        <f>IF(PLANEJAMENTO!C149="","",PLANEJAMENTO!C149)</f>
        <v>HLB</v>
      </c>
      <c r="E149" s="1">
        <f>IF(PLANEJAMENTO!G149="","",PLANEJAMENTO!G149)</f>
        <v>1930</v>
      </c>
      <c r="F149">
        <f t="shared" si="12"/>
        <v>23</v>
      </c>
      <c r="G149" s="5">
        <v>46083</v>
      </c>
      <c r="H149" s="5">
        <v>46105</v>
      </c>
      <c r="I149" s="10" t="str">
        <f t="shared" ca="1" si="13"/>
        <v>🕓 EM ANDAMENTO</v>
      </c>
      <c r="J149" s="1">
        <f t="shared" ca="1" si="14"/>
        <v>6</v>
      </c>
    </row>
    <row r="150" spans="1:11" ht="15" customHeight="1" x14ac:dyDescent="0.3">
      <c r="A150" s="6" t="str">
        <f>IF(PLANEJAMENTO!A150="","",PLANEJAMENTO!A150)</f>
        <v>MMS002T1</v>
      </c>
      <c r="B150" s="6" t="str">
        <f>IF(PLANEJAMENTO!B150="","",PLANEJAMENTO!B150)</f>
        <v>contel-149</v>
      </c>
      <c r="C150" s="6" t="str">
        <f>IF(PLANEJAMENTO!D150="","",PLANEJAMENTO!D150)</f>
        <v xml:space="preserve">MIMOSO </v>
      </c>
      <c r="D150" s="6" t="str">
        <f>IF(PLANEJAMENTO!C150="","",PLANEJAMENTO!C150)</f>
        <v>ATC</v>
      </c>
      <c r="E150" s="1">
        <f>IF(PLANEJAMENTO!G150="","",PLANEJAMENTO!G150)</f>
        <v>1844</v>
      </c>
      <c r="F150">
        <f t="shared" si="12"/>
        <v>49</v>
      </c>
      <c r="G150" s="5">
        <v>46063</v>
      </c>
      <c r="H150" s="5">
        <v>46111</v>
      </c>
      <c r="I150" s="10" t="str">
        <f t="shared" ca="1" si="13"/>
        <v>🕓 EM ANDAMENTO</v>
      </c>
      <c r="J150" s="1">
        <f t="shared" ca="1" si="14"/>
        <v>12</v>
      </c>
    </row>
    <row r="151" spans="1:11" ht="15" customHeight="1" x14ac:dyDescent="0.3">
      <c r="A151" s="6">
        <f>IF(PLANEJAMENTO!A151="","",PLANEJAMENTO!A151)</f>
        <v>22080028</v>
      </c>
      <c r="B151" s="6" t="str">
        <f>IF(PLANEJAMENTO!B151="","",PLANEJAMENTO!B151)</f>
        <v>contel-150</v>
      </c>
      <c r="C151" s="6" t="str">
        <f>IF(PLANEJAMENTO!D151="","",PLANEJAMENTO!D151)</f>
        <v>SÃO FRANCISCO DE ITABAPOANA</v>
      </c>
      <c r="D151" s="6" t="str">
        <f>IF(PLANEJAMENTO!C151="","",PLANEJAMENTO!C151)</f>
        <v>IHS</v>
      </c>
      <c r="E151" s="1">
        <f>IF(PLANEJAMENTO!G151="","",PLANEJAMENTO!G151)</f>
        <v>1697</v>
      </c>
      <c r="F151" t="str">
        <f t="shared" si="12"/>
        <v/>
      </c>
      <c r="G151" s="5"/>
      <c r="H151" s="5"/>
      <c r="I151" s="10" t="str">
        <f t="shared" si="13"/>
        <v>✅ CONCLUÍDO</v>
      </c>
      <c r="J151" s="1">
        <f t="shared" ca="1" si="14"/>
        <v>0</v>
      </c>
      <c r="K151" t="s">
        <v>583</v>
      </c>
    </row>
    <row r="152" spans="1:11" ht="15" customHeight="1" x14ac:dyDescent="0.3">
      <c r="A152" s="6" t="str">
        <f>IF(PLANEJAMENTO!A152="","",PLANEJAMENTO!A152)</f>
        <v>BAPXD4536</v>
      </c>
      <c r="B152" s="6" t="str">
        <f>IF(PLANEJAMENTO!B152="","",PLANEJAMENTO!B152)</f>
        <v>contel-151</v>
      </c>
      <c r="C152" s="6" t="str">
        <f>IF(PLANEJAMENTO!D152="","",PLANEJAMENTO!D152)</f>
        <v>PEDRO ALEXANDRE</v>
      </c>
      <c r="D152" s="6" t="str">
        <f>IF(PLANEJAMENTO!C152="","",PLANEJAMENTO!C152)</f>
        <v>HLB</v>
      </c>
      <c r="E152" s="1">
        <f>IF(PLANEJAMENTO!G152="","",PLANEJAMENTO!G152)</f>
        <v>1943</v>
      </c>
      <c r="F152">
        <f t="shared" si="12"/>
        <v>12</v>
      </c>
      <c r="G152" s="5">
        <v>46090</v>
      </c>
      <c r="H152" s="5">
        <v>46101</v>
      </c>
      <c r="I152" s="10" t="str">
        <f t="shared" ca="1" si="13"/>
        <v>🕓 EM ANDAMENTO</v>
      </c>
      <c r="J152" s="1">
        <f t="shared" ca="1" si="14"/>
        <v>2</v>
      </c>
    </row>
    <row r="153" spans="1:11" ht="15" customHeight="1" x14ac:dyDescent="0.3">
      <c r="A153" s="6" t="str">
        <f>IF(PLANEJAMENTO!A153="","",PLANEJAMENTO!A153)</f>
        <v>VGA001VV</v>
      </c>
      <c r="B153" s="6" t="str">
        <f>IF(PLANEJAMENTO!B153="","",PLANEJAMENTO!B153)</f>
        <v>contel-152</v>
      </c>
      <c r="C153" s="6" t="str">
        <f>IF(PLANEJAMENTO!D153="","",PLANEJAMENTO!D153)</f>
        <v>VARGINHA</v>
      </c>
      <c r="D153" s="6" t="str">
        <f>IF(PLANEJAMENTO!C153="","",PLANEJAMENTO!C153)</f>
        <v>ATC</v>
      </c>
      <c r="E153" s="1">
        <f>IF(PLANEJAMENTO!G153="","",PLANEJAMENTO!G153)</f>
        <v>1944</v>
      </c>
      <c r="F153" t="str">
        <f t="shared" si="12"/>
        <v/>
      </c>
      <c r="G153" s="5"/>
      <c r="H153" s="5"/>
      <c r="I153" s="10" t="str">
        <f t="shared" ca="1" si="13"/>
        <v>🕓 EM ANDAMENTO</v>
      </c>
      <c r="J153" s="1" t="str">
        <f t="shared" ca="1" si="14"/>
        <v/>
      </c>
    </row>
    <row r="154" spans="1:11" ht="15" customHeight="1" x14ac:dyDescent="0.3">
      <c r="A154" s="6" t="str">
        <f>IF(PLANEJAMENTO!A154="","",PLANEJAMENTO!A154)</f>
        <v>JZF002VV</v>
      </c>
      <c r="B154" s="6" t="str">
        <f>IF(PLANEJAMENTO!B154="","",PLANEJAMENTO!B154)</f>
        <v>contel-153</v>
      </c>
      <c r="C154" s="6" t="str">
        <f>IF(PLANEJAMENTO!D154="","",PLANEJAMENTO!D154)</f>
        <v>JUIZ DE FORA</v>
      </c>
      <c r="D154" s="6" t="str">
        <f>IF(PLANEJAMENTO!C154="","",PLANEJAMENTO!C154)</f>
        <v>ATC</v>
      </c>
      <c r="E154" s="1">
        <f>IF(PLANEJAMENTO!G154="","",PLANEJAMENTO!G154)</f>
        <v>1901</v>
      </c>
      <c r="F154" t="str">
        <f t="shared" si="12"/>
        <v/>
      </c>
      <c r="G154" s="5"/>
      <c r="H154" s="5"/>
      <c r="I154" s="10" t="str">
        <f t="shared" ca="1" si="13"/>
        <v>🕓 EM ANDAMENTO</v>
      </c>
      <c r="J154" s="1" t="str">
        <f t="shared" ca="1" si="14"/>
        <v/>
      </c>
    </row>
    <row r="155" spans="1:11" ht="15" customHeight="1" x14ac:dyDescent="0.3">
      <c r="A155" s="6" t="str">
        <f>IF(PLANEJAMENTO!A155="","",PLANEJAMENTO!A155)</f>
        <v>TURVO</v>
      </c>
      <c r="B155" s="6" t="str">
        <f>IF(PLANEJAMENTO!B155="","",PLANEJAMENTO!B155)</f>
        <v>contel-154</v>
      </c>
      <c r="C155" s="6" t="str">
        <f>IF(PLANEJAMENTO!D155="","",PLANEJAMENTO!D155)</f>
        <v>TURVO</v>
      </c>
      <c r="D155" s="6" t="str">
        <f>IF(PLANEJAMENTO!C155="","",PLANEJAMENTO!C155)</f>
        <v>IBEMA</v>
      </c>
      <c r="E155" s="1">
        <f>IF(PLANEJAMENTO!G155="","",PLANEJAMENTO!G155)</f>
        <v>598</v>
      </c>
      <c r="F155">
        <f t="shared" si="12"/>
        <v>153</v>
      </c>
      <c r="G155" s="5">
        <v>45974</v>
      </c>
      <c r="H155" s="5">
        <v>46126</v>
      </c>
      <c r="I155" s="10" t="str">
        <f t="shared" ref="I155:I185" ca="1" si="15">IF(K155="FINALIZADO","✅ CONCLUÍDO",
   IF(K155="PARALISADO","⚠️ PARALISADO",IF(K155="CANCELADO","🚫CANCELADO",
      IF(J155="","🕓 EM ANDAMENTO",
         IF(J155&lt;0,"⏰ ATRASADO",
            "🕓 EM ANDAMENTO"
         )
      )
   )
))</f>
        <v>🕓 EM ANDAMENTO</v>
      </c>
      <c r="J155" s="1">
        <f t="shared" ca="1" si="14"/>
        <v>27</v>
      </c>
    </row>
    <row r="156" spans="1:11" ht="15" customHeight="1" x14ac:dyDescent="0.3">
      <c r="A156" s="6" t="str">
        <f>IF(PLANEJAMENTO!A156="","",PLANEJAMENTO!A156)</f>
        <v>UMB001TM</v>
      </c>
      <c r="B156" s="6" t="str">
        <f>IF(PLANEJAMENTO!B156="","",PLANEJAMENTO!B156)</f>
        <v>contel-155</v>
      </c>
      <c r="C156" s="6" t="str">
        <f>IF(PLANEJAMENTO!D156="","",PLANEJAMENTO!D156)</f>
        <v>UMBAÚBA</v>
      </c>
      <c r="D156" s="6" t="str">
        <f>IF(PLANEJAMENTO!C156="","",PLANEJAMENTO!C156)</f>
        <v>ATC</v>
      </c>
      <c r="E156" s="1">
        <f>IF(PLANEJAMENTO!G156="","",PLANEJAMENTO!G156)</f>
        <v>1947</v>
      </c>
      <c r="F156" t="str">
        <f t="shared" ref="F156:F157" si="16">IF(AND(G156&lt;&gt;"",H156&lt;&gt;""),H156-G156+1,"")</f>
        <v/>
      </c>
      <c r="G156" s="5"/>
      <c r="H156" s="5"/>
      <c r="I156" s="10" t="str">
        <f t="shared" ca="1" si="15"/>
        <v>🕓 EM ANDAMENTO</v>
      </c>
      <c r="J156" s="1" t="str">
        <f t="shared" ref="J156:J157" ca="1" si="17">IF(K156="FINALIZADO",0,IF(ISBLANK(H156),"",H156-TODAY()))</f>
        <v/>
      </c>
    </row>
    <row r="157" spans="1:11" ht="15" customHeight="1" x14ac:dyDescent="0.3">
      <c r="A157" s="6" t="str">
        <f>IF(PLANEJAMENTO!A157="","",PLANEJAMENTO!A157)</f>
        <v>ABZ002AT</v>
      </c>
      <c r="B157" s="6" t="str">
        <f>IF(PLANEJAMENTO!B157="","",PLANEJAMENTO!B157)</f>
        <v>contel-156</v>
      </c>
      <c r="C157" s="6" t="str">
        <f>IF(PLANEJAMENTO!D157="","",PLANEJAMENTO!D157)</f>
        <v xml:space="preserve">CABO FRIO </v>
      </c>
      <c r="D157" s="6" t="str">
        <f>IF(PLANEJAMENTO!C157="","",PLANEJAMENTO!C157)</f>
        <v>ATC</v>
      </c>
      <c r="E157" s="1">
        <f>IF(PLANEJAMENTO!G157="","",PLANEJAMENTO!G157)</f>
        <v>1784</v>
      </c>
      <c r="F157" t="str">
        <f t="shared" si="16"/>
        <v/>
      </c>
      <c r="G157" s="5"/>
      <c r="H157" s="5"/>
      <c r="I157" s="10" t="str">
        <f t="shared" ca="1" si="15"/>
        <v>🕓 EM ANDAMENTO</v>
      </c>
      <c r="J157" s="1" t="str">
        <f t="shared" ca="1" si="17"/>
        <v/>
      </c>
    </row>
    <row r="158" spans="1:11" ht="15" customHeight="1" x14ac:dyDescent="0.3">
      <c r="A158" s="6" t="str">
        <f>IF(PLANEJAMENTO!A158="","",PLANEJAMENTO!A158)</f>
        <v>CGY005TM</v>
      </c>
      <c r="B158" s="6" t="str">
        <f>IF(PLANEJAMENTO!B158="","",PLANEJAMENTO!B158)</f>
        <v>contel-157</v>
      </c>
      <c r="C158" s="6" t="str">
        <f>IF(PLANEJAMENTO!D158="","",PLANEJAMENTO!D158)</f>
        <v>CAMPOS DOS GOYTACAZES</v>
      </c>
      <c r="D158" s="6" t="str">
        <f>IF(PLANEJAMENTO!C158="","",PLANEJAMENTO!C158)</f>
        <v>ATC</v>
      </c>
      <c r="E158" s="1">
        <f>IF(PLANEJAMENTO!G158="","",PLANEJAMENTO!G158)</f>
        <v>1843</v>
      </c>
      <c r="F158" t="str">
        <f>IF(AND(G158&lt;&gt;"",H158&lt;&gt;""),H158-G158+1,"")</f>
        <v/>
      </c>
      <c r="G158" s="5"/>
      <c r="H158" s="5"/>
      <c r="I158" s="10" t="str">
        <f t="shared" ca="1" si="15"/>
        <v>🕓 EM ANDAMENTO</v>
      </c>
      <c r="J158" s="1" t="str">
        <f ca="1">IF(K158="FINALIZADO",0,IF(ISBLANK(H158),"",H158-TODAY()))</f>
        <v/>
      </c>
    </row>
    <row r="159" spans="1:11" ht="15" customHeight="1" x14ac:dyDescent="0.3">
      <c r="A159" s="6" t="str">
        <f>IF(PLANEJAMENTO!A159="","",PLANEJAMENTO!A159)</f>
        <v>BR49615-A</v>
      </c>
      <c r="B159" s="6" t="str">
        <f>IF(PLANEJAMENTO!B159="","",PLANEJAMENTO!B159)</f>
        <v>contel-158</v>
      </c>
      <c r="C159" s="6" t="str">
        <f>IF(PLANEJAMENTO!D159="","",PLANEJAMENTO!D159)</f>
        <v>CONCÓRDIA</v>
      </c>
      <c r="D159" s="6" t="str">
        <f>IF(PLANEJAMENTO!C159="","",PLANEJAMENTO!C159)</f>
        <v>SBA</v>
      </c>
      <c r="E159" s="1">
        <f>IF(PLANEJAMENTO!G159="","",PLANEJAMENTO!G159)</f>
        <v>1929</v>
      </c>
      <c r="F159">
        <f>IF(AND(G159&lt;&gt;"",H159&lt;&gt;""),H159-G159+1,"")</f>
        <v>47</v>
      </c>
      <c r="G159" s="5">
        <v>46083</v>
      </c>
      <c r="H159" s="5">
        <v>46129</v>
      </c>
      <c r="I159" s="10" t="str">
        <f t="shared" ca="1" si="15"/>
        <v>🕓 EM ANDAMENTO</v>
      </c>
      <c r="J159" s="1">
        <f ca="1">IF(K159="FINALIZADO",0,IF(ISBLANK(H159),"",H159-TODAY()))</f>
        <v>30</v>
      </c>
    </row>
    <row r="160" spans="1:11" ht="15" customHeight="1" x14ac:dyDescent="0.3">
      <c r="A160" s="6" t="str">
        <f>IF(PLANEJAMENTO!A160="","",PLANEJAMENTO!A160)</f>
        <v>BAPRT002</v>
      </c>
      <c r="B160" s="6" t="str">
        <f>IF(PLANEJAMENTO!B160="","",PLANEJAMENTO!B160)</f>
        <v>contel-159</v>
      </c>
      <c r="C160" s="6" t="str">
        <f>IF(PLANEJAMENTO!D160="","",PLANEJAMENTO!D160)</f>
        <v xml:space="preserve">PORTO SEGURO </v>
      </c>
      <c r="D160" s="6" t="str">
        <f>IF(PLANEJAMENTO!C160="","",PLANEJAMENTO!C160)</f>
        <v>HLB</v>
      </c>
      <c r="E160" s="1">
        <f>IF(PLANEJAMENTO!G160="","",PLANEJAMENTO!G160)</f>
        <v>1948</v>
      </c>
      <c r="F160">
        <f>IF(AND(G160&lt;&gt;"",H160&lt;&gt;""),H160-G160+1,"")</f>
        <v>46</v>
      </c>
      <c r="G160" s="5">
        <v>46092</v>
      </c>
      <c r="H160" s="5">
        <v>46137</v>
      </c>
      <c r="I160" s="10" t="str">
        <f t="shared" ca="1" si="15"/>
        <v>🕓 EM ANDAMENTO</v>
      </c>
      <c r="J160" s="1">
        <f ca="1">IF(K160="FINALIZADO",0,IF(ISBLANK(H160),"",H160-TODAY()))</f>
        <v>38</v>
      </c>
    </row>
    <row r="161" spans="1:20" ht="15" customHeight="1" x14ac:dyDescent="0.3">
      <c r="A161" s="6" t="str">
        <f>IF(PLANEJAMENTO!A161="","",PLANEJAMENTO!A161)</f>
        <v>GOGNAN2</v>
      </c>
      <c r="B161" s="6" t="str">
        <f>IF(PLANEJAMENTO!B161="","",PLANEJAMENTO!B161)</f>
        <v>contel-160</v>
      </c>
      <c r="C161" s="6" t="str">
        <f>IF(PLANEJAMENTO!D161="","",PLANEJAMENTO!D161)</f>
        <v>GOIÂNIA</v>
      </c>
      <c r="D161" s="6" t="str">
        <f>IF(PLANEJAMENTO!C161="","",PLANEJAMENTO!C161)</f>
        <v>GLOBAL</v>
      </c>
      <c r="E161" s="1">
        <f>IF(PLANEJAMENTO!G161="","",PLANEJAMENTO!G161)</f>
        <v>1952</v>
      </c>
      <c r="F161">
        <f t="shared" ref="F161:F163" si="18">IF(AND(G161&lt;&gt;"",H161&lt;&gt;""),H161-G161+1,"")</f>
        <v>46</v>
      </c>
      <c r="G161" s="5">
        <v>46092</v>
      </c>
      <c r="H161" s="5">
        <v>46137</v>
      </c>
      <c r="I161" s="10" t="str">
        <f t="shared" ca="1" si="15"/>
        <v>🕓 EM ANDAMENTO</v>
      </c>
      <c r="J161" s="1">
        <f t="shared" ref="J161:J163" ca="1" si="19">IF(K161="FINALIZADO",0,IF(ISBLANK(H161),"",H161-TODAY()))</f>
        <v>38</v>
      </c>
    </row>
    <row r="162" spans="1:20" ht="15" customHeight="1" x14ac:dyDescent="0.3">
      <c r="A162" s="6" t="str">
        <f>IF(PLANEJAMENTO!A162="","",PLANEJAMENTO!A162)</f>
        <v>GOGNAN1</v>
      </c>
      <c r="B162" s="6" t="str">
        <f>IF(PLANEJAMENTO!B162="","",PLANEJAMENTO!B162)</f>
        <v>contel-161</v>
      </c>
      <c r="C162" s="6" t="str">
        <f>IF(PLANEJAMENTO!D162="","",PLANEJAMENTO!D162)</f>
        <v>GOIÂNIA</v>
      </c>
      <c r="D162" s="6" t="str">
        <f>IF(PLANEJAMENTO!C162="","",PLANEJAMENTO!C162)</f>
        <v>GLOBAL</v>
      </c>
      <c r="E162" s="1">
        <f>IF(PLANEJAMENTO!G162="","",PLANEJAMENTO!G162)</f>
        <v>1951</v>
      </c>
      <c r="F162">
        <f t="shared" si="18"/>
        <v>46</v>
      </c>
      <c r="G162" s="5">
        <v>46092</v>
      </c>
      <c r="H162" s="5">
        <v>46137</v>
      </c>
      <c r="I162" s="10" t="str">
        <f t="shared" ca="1" si="15"/>
        <v>🕓 EM ANDAMENTO</v>
      </c>
      <c r="J162" s="1">
        <f t="shared" ca="1" si="19"/>
        <v>38</v>
      </c>
    </row>
    <row r="163" spans="1:20" ht="15" customHeight="1" x14ac:dyDescent="0.3">
      <c r="A163" s="6" t="str">
        <f>IF(PLANEJAMENTO!A163="","",PLANEJAMENTO!A163)</f>
        <v>GOGNAM9</v>
      </c>
      <c r="B163" s="6" t="str">
        <f>IF(PLANEJAMENTO!B163="","",PLANEJAMENTO!B163)</f>
        <v>contel-162</v>
      </c>
      <c r="C163" s="6" t="str">
        <f>IF(PLANEJAMENTO!D163="","",PLANEJAMENTO!D163)</f>
        <v>GOIÂNIA</v>
      </c>
      <c r="D163" s="6" t="str">
        <f>IF(PLANEJAMENTO!C163="","",PLANEJAMENTO!C163)</f>
        <v>GLOBAL</v>
      </c>
      <c r="E163" s="1">
        <f>IF(PLANEJAMENTO!G163="","",PLANEJAMENTO!G163)</f>
        <v>1950</v>
      </c>
      <c r="F163">
        <f t="shared" si="18"/>
        <v>46</v>
      </c>
      <c r="G163" s="5">
        <v>46092</v>
      </c>
      <c r="H163" s="5">
        <v>46137</v>
      </c>
      <c r="I163" s="10" t="str">
        <f t="shared" ca="1" si="15"/>
        <v>🕓 EM ANDAMENTO</v>
      </c>
      <c r="J163" s="1">
        <f t="shared" ca="1" si="19"/>
        <v>38</v>
      </c>
    </row>
    <row r="164" spans="1:20" ht="15" customHeight="1" x14ac:dyDescent="0.3">
      <c r="A164" s="6" t="str">
        <f>IF(PLANEJAMENTO!A164="","",PLANEJAMENTO!A164)</f>
        <v>GOGNAK8</v>
      </c>
      <c r="B164" s="6" t="str">
        <f>IF(PLANEJAMENTO!B164="","",PLANEJAMENTO!B164)</f>
        <v>contel-163</v>
      </c>
      <c r="C164" s="6" t="str">
        <f>IF(PLANEJAMENTO!D164="","",PLANEJAMENTO!D164)</f>
        <v>GOIÂNIA</v>
      </c>
      <c r="D164" s="6" t="str">
        <f>IF(PLANEJAMENTO!C164="","",PLANEJAMENTO!C164)</f>
        <v>GLOBAL</v>
      </c>
      <c r="E164" s="1">
        <f>IF(PLANEJAMENTO!G164="","",PLANEJAMENTO!G164)</f>
        <v>1949</v>
      </c>
      <c r="F164">
        <f>IF(AND(G164&lt;&gt;"",H164&lt;&gt;""),H164-G164+1,"")</f>
        <v>46</v>
      </c>
      <c r="G164" s="5">
        <v>46092</v>
      </c>
      <c r="H164" s="5">
        <v>46137</v>
      </c>
      <c r="I164" s="10" t="str">
        <f t="shared" ca="1" si="15"/>
        <v>🕓 EM ANDAMENTO</v>
      </c>
      <c r="J164" s="1">
        <f ca="1">IF(K164="FINALIZADO",0,IF(ISBLANK(H164),"",H164-TODAY()))</f>
        <v>38</v>
      </c>
    </row>
    <row r="165" spans="1:20" ht="15" customHeight="1" x14ac:dyDescent="0.3">
      <c r="A165" s="6" t="str">
        <f>IF(PLANEJAMENTO!A165="","",PLANEJAMENTO!A165)</f>
        <v>BR54537-B</v>
      </c>
      <c r="B165" s="6" t="str">
        <f>IF(PLANEJAMENTO!B165="","",PLANEJAMENTO!B165)</f>
        <v>contel-164</v>
      </c>
      <c r="C165" s="6" t="str">
        <f>IF(PLANEJAMENTO!D165="","",PLANEJAMENTO!D165)</f>
        <v>RIO DAS OSTRAS</v>
      </c>
      <c r="D165" s="6" t="str">
        <f>IF(PLANEJAMENTO!C165="","",PLANEJAMENTO!C165)</f>
        <v>SBA</v>
      </c>
      <c r="E165" s="1" t="str">
        <f>IF(PLANEJAMENTO!G165="","",PLANEJAMENTO!G165)</f>
        <v/>
      </c>
      <c r="F165" t="str">
        <f>IF(AND(G165&lt;&gt;"",H165&lt;&gt;""),H165-G165+1,"")</f>
        <v/>
      </c>
      <c r="G165" s="5"/>
      <c r="H165" s="5"/>
      <c r="I165" s="10" t="str">
        <f t="shared" ca="1" si="15"/>
        <v>🕓 EM ANDAMENTO</v>
      </c>
      <c r="J165" s="1" t="str">
        <f ca="1">IF(K165="FINALIZADO",0,IF(ISBLANK(H165),"",H165-TODAY()))</f>
        <v/>
      </c>
    </row>
    <row r="166" spans="1:20" ht="15" customHeight="1" x14ac:dyDescent="0.3">
      <c r="A166" s="6" t="str">
        <f>IF(PLANEJAMENTO!A166="","",PLANEJAMENTO!A166)</f>
        <v>CEEUS001NX</v>
      </c>
      <c r="B166" s="6" t="str">
        <f>IF(PLANEJAMENTO!B166="","",PLANEJAMENTO!B166)</f>
        <v>contel-165</v>
      </c>
      <c r="C166" s="6" t="str">
        <f>IF(PLANEJAMENTO!D166="","",PLANEJAMENTO!D166)</f>
        <v>EUSÉBIO</v>
      </c>
      <c r="D166" s="6" t="str">
        <f>IF(PLANEJAMENTO!C166="","",PLANEJAMENTO!C166)</f>
        <v>NEXUS</v>
      </c>
      <c r="E166" s="1">
        <f>IF(PLANEJAMENTO!G166="","",PLANEJAMENTO!G166)</f>
        <v>1953</v>
      </c>
      <c r="F166" t="str">
        <f>IF(AND(G166&lt;&gt;"",H166&lt;&gt;""),H166-G166+1,"")</f>
        <v/>
      </c>
      <c r="G166" s="5"/>
      <c r="H166" s="5"/>
      <c r="I166" s="10" t="str">
        <f t="shared" si="15"/>
        <v>🚫CANCELADO</v>
      </c>
      <c r="J166" s="1" t="str">
        <f ca="1">IF(K166="FINALIZADO",0,IF(ISBLANK(H166),"",H166-TODAY()))</f>
        <v/>
      </c>
      <c r="K166" t="s">
        <v>585</v>
      </c>
      <c r="S166" t="str">
        <f>IFERROR(
IF(
UPPER(TRIM(_xlfn.XLOOKUP(A166,PLANEJAMENTO!A:A,PLANEJAMENTO!T:T)))="✅ CONCLUÍDO",
"x",
""
),
"")</f>
        <v/>
      </c>
    </row>
    <row r="167" spans="1:20" ht="15" customHeight="1" x14ac:dyDescent="0.3">
      <c r="A167" s="6" t="str">
        <f>IF(PLANEJAMENTO!A167="","",PLANEJAMENTO!A167)</f>
        <v>MAVNX001</v>
      </c>
      <c r="B167" s="6" t="str">
        <f>IF(PLANEJAMENTO!B167="","",PLANEJAMENTO!B167)</f>
        <v>contel-166</v>
      </c>
      <c r="C167" s="6" t="str">
        <f>IF(PLANEJAMENTO!D167="","",PLANEJAMENTO!D167)</f>
        <v>VIANA</v>
      </c>
      <c r="D167" s="6" t="str">
        <f>IF(PLANEJAMENTO!C167="","",PLANEJAMENTO!C167)</f>
        <v>HLB</v>
      </c>
      <c r="E167" s="1">
        <f>IF(PLANEJAMENTO!G167="","",PLANEJAMENTO!G167)</f>
        <v>1802</v>
      </c>
      <c r="F167" t="str">
        <f t="shared" ref="F167:F169" si="20">IF(AND(G167&lt;&gt;"",H167&lt;&gt;""),H167-G167+1,"")</f>
        <v/>
      </c>
      <c r="G167" s="5"/>
      <c r="H167" s="5"/>
      <c r="I167" s="10" t="str">
        <f t="shared" ca="1" si="15"/>
        <v>🕓 EM ANDAMENTO</v>
      </c>
      <c r="J167" s="1" t="str">
        <f t="shared" ref="J167:J169" ca="1" si="21">IF(K167="FINALIZADO",0,IF(ISBLANK(H167),"",H167-TODAY()))</f>
        <v/>
      </c>
      <c r="T167" t="str">
        <f>IFERROR('CRONOGRAMA'!J169
                                                                                                                                                                                                                                                                IF(
UPPER(TRIM(_xlfn.XLOOKUP(A167,PLANEJAMENTO!A:A,PLANEJAMENTO!T:T)))="✅ CONCLUÍDO",
"SIM",
""
),
"")</f>
        <v/>
      </c>
    </row>
    <row r="168" spans="1:20" ht="15" customHeight="1" x14ac:dyDescent="0.3">
      <c r="A168" s="6" t="str">
        <f>IF(PLANEJAMENTO!A168="","",PLANEJAMENTO!A168)</f>
        <v>MABMX002</v>
      </c>
      <c r="B168" s="6" t="str">
        <f>IF(PLANEJAMENTO!B168="","",PLANEJAMENTO!B168)</f>
        <v>contel-167</v>
      </c>
      <c r="C168" s="6" t="str">
        <f>IF(PLANEJAMENTO!D168="","",PLANEJAMENTO!D168)</f>
        <v>BOM JESUS DA SELVA</v>
      </c>
      <c r="D168" s="6" t="str">
        <f>IF(PLANEJAMENTO!C168="","",PLANEJAMENTO!C168)</f>
        <v>HLB</v>
      </c>
      <c r="E168" s="1">
        <f>IF(PLANEJAMENTO!G168="","",PLANEJAMENTO!G168)</f>
        <v>1850</v>
      </c>
      <c r="F168" t="str">
        <f t="shared" si="20"/>
        <v/>
      </c>
      <c r="G168" s="5"/>
      <c r="H168" s="5"/>
      <c r="I168" s="10" t="str">
        <f t="shared" ca="1" si="15"/>
        <v>🕓 EM ANDAMENTO</v>
      </c>
      <c r="J168" s="1" t="str">
        <f t="shared" ca="1" si="21"/>
        <v/>
      </c>
    </row>
    <row r="169" spans="1:20" ht="15" customHeight="1" x14ac:dyDescent="0.3">
      <c r="A169" s="6" t="str">
        <f>IF(PLANEJAMENTO!A169="","",PLANEJAMENTO!A169)</f>
        <v>MABCY001</v>
      </c>
      <c r="B169" s="6" t="str">
        <f>IF(PLANEJAMENTO!B169="","",PLANEJAMENTO!B169)</f>
        <v>contel-168</v>
      </c>
      <c r="C169" s="6" t="str">
        <f>IF(PLANEJAMENTO!D169="","",PLANEJAMENTO!D169)</f>
        <v xml:space="preserve">BACURITIBA </v>
      </c>
      <c r="D169" s="6" t="str">
        <f>IF(PLANEJAMENTO!C169="","",PLANEJAMENTO!C169)</f>
        <v>HLB</v>
      </c>
      <c r="E169" s="1">
        <f>IF(PLANEJAMENTO!G169="","",PLANEJAMENTO!G169)</f>
        <v>1803</v>
      </c>
      <c r="F169" t="str">
        <f t="shared" si="20"/>
        <v/>
      </c>
      <c r="G169" s="5"/>
      <c r="H169" s="5"/>
      <c r="I169" s="10" t="str">
        <f t="shared" ca="1" si="15"/>
        <v>🕓 EM ANDAMENTO</v>
      </c>
      <c r="J169" s="1" t="str">
        <f t="shared" ca="1" si="21"/>
        <v/>
      </c>
    </row>
    <row r="170" spans="1:20" ht="15" customHeight="1" x14ac:dyDescent="0.3">
      <c r="A170" s="6" t="str">
        <f>IF(PLANEJAMENTO!A170="","",PLANEJAMENTO!A170)</f>
        <v>RPE002T1</v>
      </c>
      <c r="B170" s="6" t="str">
        <f>IF(PLANEJAMENTO!B170="","",PLANEJAMENTO!B170)</f>
        <v>contel-169</v>
      </c>
      <c r="C170" s="6" t="str">
        <f>IF(PLANEJAMENTO!D170="","",PLANEJAMENTO!D170)</f>
        <v>RIO PRETO DA EVA</v>
      </c>
      <c r="D170" s="6" t="str">
        <f>IF(PLANEJAMENTO!C170="","",PLANEJAMENTO!C170)</f>
        <v>ATC</v>
      </c>
      <c r="E170" s="1" t="str">
        <f>IF(PLANEJAMENTO!G170="","",PLANEJAMENTO!G170)</f>
        <v/>
      </c>
      <c r="F170" t="str">
        <f>IF(AND(G170&lt;&gt;"",H170&lt;&gt;""),H170-G170+1,"")</f>
        <v/>
      </c>
      <c r="G170" s="5"/>
      <c r="H170" s="5"/>
      <c r="I170" s="10" t="str">
        <f t="shared" ca="1" si="15"/>
        <v>🕓 EM ANDAMENTO</v>
      </c>
      <c r="J170" s="1" t="str">
        <f ca="1">IF(K170="FINALIZADO",0,IF(ISBLANK(H170),"",H170-TODAY()))</f>
        <v/>
      </c>
    </row>
    <row r="171" spans="1:20" ht="15" customHeight="1" x14ac:dyDescent="0.3">
      <c r="A171" s="6" t="str">
        <f>IF(PLANEJAMENTO!A171="","",PLANEJAMENTO!A171)</f>
        <v>AFL001T1</v>
      </c>
      <c r="B171" s="6" t="str">
        <f>IF(PLANEJAMENTO!B171="","",PLANEJAMENTO!B171)</f>
        <v>contel-170</v>
      </c>
      <c r="C171" s="6" t="str">
        <f>IF(PLANEJAMENTO!D171="","",PLANEJAMENTO!D171)</f>
        <v>ALTA FLORESTA</v>
      </c>
      <c r="D171" s="6" t="str">
        <f>IF(PLANEJAMENTO!C171="","",PLANEJAMENTO!C171)</f>
        <v>ATC</v>
      </c>
      <c r="E171" s="1">
        <f>IF(PLANEJAMENTO!G171="","",PLANEJAMENTO!G171)</f>
        <v>1893</v>
      </c>
      <c r="F171" t="str">
        <f t="shared" ref="F171:F174" si="22">IF(AND(G171&lt;&gt;"",H171&lt;&gt;""),H171-G171+1,"")</f>
        <v/>
      </c>
      <c r="G171" s="5"/>
      <c r="H171" s="5"/>
      <c r="I171" s="10" t="str">
        <f t="shared" si="15"/>
        <v>✅ CONCLUÍDO</v>
      </c>
      <c r="J171" s="1">
        <f t="shared" ref="J171:J174" ca="1" si="23">IF(K171="FINALIZADO",0,IF(ISBLANK(H171),"",H171-TODAY()))</f>
        <v>0</v>
      </c>
      <c r="K171" t="s">
        <v>583</v>
      </c>
    </row>
    <row r="172" spans="1:20" ht="15" customHeight="1" x14ac:dyDescent="0.3">
      <c r="A172" s="6" t="str">
        <f>IF(PLANEJAMENTO!A172="","",PLANEJAMENTO!A172)</f>
        <v/>
      </c>
      <c r="B172" s="6" t="str">
        <f>IF(PLANEJAMENTO!B172="","",PLANEJAMENTO!B172)</f>
        <v/>
      </c>
      <c r="C172" s="6" t="str">
        <f>IF(PLANEJAMENTO!D172="","",PLANEJAMENTO!D172)</f>
        <v/>
      </c>
      <c r="D172" s="6" t="str">
        <f>IF(PLANEJAMENTO!C172="","",PLANEJAMENTO!C172)</f>
        <v/>
      </c>
      <c r="E172" s="1" t="str">
        <f>IF(PLANEJAMENTO!G172="","",PLANEJAMENTO!G172)</f>
        <v/>
      </c>
      <c r="F172" t="str">
        <f t="shared" si="22"/>
        <v/>
      </c>
      <c r="G172" s="5"/>
      <c r="H172" s="5"/>
      <c r="I172" s="10" t="str">
        <f t="shared" ca="1" si="15"/>
        <v>🕓 EM ANDAMENTO</v>
      </c>
      <c r="J172" s="1" t="str">
        <f t="shared" ca="1" si="23"/>
        <v/>
      </c>
    </row>
    <row r="173" spans="1:20" ht="15" customHeight="1" x14ac:dyDescent="0.3">
      <c r="A173" s="6" t="str">
        <f>IF(PLANEJAMENTO!A173="","",PLANEJAMENTO!A173)</f>
        <v/>
      </c>
      <c r="B173" s="6" t="str">
        <f>IF(PLANEJAMENTO!B173="","",PLANEJAMENTO!B173)</f>
        <v/>
      </c>
      <c r="C173" s="6" t="str">
        <f>IF(PLANEJAMENTO!D173="","",PLANEJAMENTO!D173)</f>
        <v/>
      </c>
      <c r="D173" s="6" t="str">
        <f>IF(PLANEJAMENTO!C173="","",PLANEJAMENTO!C173)</f>
        <v/>
      </c>
      <c r="E173" s="1" t="str">
        <f>IF(PLANEJAMENTO!G173="","",PLANEJAMENTO!G173)</f>
        <v/>
      </c>
      <c r="F173" t="str">
        <f t="shared" si="22"/>
        <v/>
      </c>
      <c r="G173" s="5"/>
      <c r="H173" s="5"/>
      <c r="I173" s="10" t="str">
        <f t="shared" ca="1" si="15"/>
        <v>🕓 EM ANDAMENTO</v>
      </c>
      <c r="J173" s="1" t="str">
        <f t="shared" ca="1" si="23"/>
        <v/>
      </c>
    </row>
    <row r="174" spans="1:20" ht="15" customHeight="1" x14ac:dyDescent="0.3">
      <c r="A174" s="6" t="str">
        <f>IF(PLANEJAMENTO!A174="","",PLANEJAMENTO!A174)</f>
        <v/>
      </c>
      <c r="B174" s="6" t="str">
        <f>IF(PLANEJAMENTO!B174="","",PLANEJAMENTO!B174)</f>
        <v/>
      </c>
      <c r="C174" s="6" t="str">
        <f>IF(PLANEJAMENTO!D174="","",PLANEJAMENTO!D174)</f>
        <v/>
      </c>
      <c r="D174" s="6" t="str">
        <f>IF(PLANEJAMENTO!C174="","",PLANEJAMENTO!C174)</f>
        <v/>
      </c>
      <c r="E174" s="1" t="str">
        <f>IF(PLANEJAMENTO!G174="","",PLANEJAMENTO!G174)</f>
        <v/>
      </c>
      <c r="F174" t="str">
        <f t="shared" si="22"/>
        <v/>
      </c>
      <c r="G174" s="5"/>
      <c r="H174" s="5"/>
      <c r="I174" s="10" t="str">
        <f t="shared" ca="1" si="15"/>
        <v>🕓 EM ANDAMENTO</v>
      </c>
      <c r="J174" s="1" t="str">
        <f t="shared" ca="1" si="23"/>
        <v/>
      </c>
    </row>
    <row r="175" spans="1:20" ht="15" customHeight="1" x14ac:dyDescent="0.3">
      <c r="A175" s="6" t="str">
        <f>IF(PLANEJAMENTO!A175="","",PLANEJAMENTO!A175)</f>
        <v/>
      </c>
      <c r="B175" s="6" t="str">
        <f>IF(PLANEJAMENTO!B175="","",PLANEJAMENTO!B175)</f>
        <v/>
      </c>
      <c r="C175" s="6" t="str">
        <f>IF(PLANEJAMENTO!D175="","",PLANEJAMENTO!D175)</f>
        <v/>
      </c>
      <c r="D175" s="6" t="str">
        <f>IF(PLANEJAMENTO!C175="","",PLANEJAMENTO!C175)</f>
        <v/>
      </c>
      <c r="E175" s="1" t="str">
        <f>IF(PLANEJAMENTO!G175="","",PLANEJAMENTO!G175)</f>
        <v/>
      </c>
      <c r="F175" t="str">
        <f t="shared" ref="F175:F185" si="24">IF(AND(G175&lt;&gt;"",H175&lt;&gt;""),H175-G175+1,"")</f>
        <v/>
      </c>
      <c r="G175" s="5"/>
      <c r="H175" s="5"/>
      <c r="I175" s="10" t="str">
        <f t="shared" ca="1" si="15"/>
        <v>🕓 EM ANDAMENTO</v>
      </c>
      <c r="J175" s="1" t="str">
        <f t="shared" ref="J175:J185" ca="1" si="25">IF(K175="FINALIZADO",0,IF(ISBLANK(H175),"",H175-TODAY()))</f>
        <v/>
      </c>
    </row>
    <row r="176" spans="1:20" ht="15" customHeight="1" x14ac:dyDescent="0.3">
      <c r="A176" s="6" t="str">
        <f>IF(PLANEJAMENTO!A176="","",PLANEJAMENTO!A176)</f>
        <v/>
      </c>
      <c r="B176" s="6" t="str">
        <f>IF(PLANEJAMENTO!B176="","",PLANEJAMENTO!B176)</f>
        <v/>
      </c>
      <c r="C176" s="6" t="str">
        <f>IF(PLANEJAMENTO!D176="","",PLANEJAMENTO!D176)</f>
        <v/>
      </c>
      <c r="D176" s="6" t="str">
        <f>IF(PLANEJAMENTO!C176="","",PLANEJAMENTO!C176)</f>
        <v/>
      </c>
      <c r="E176" s="1" t="str">
        <f>IF(PLANEJAMENTO!G176="","",PLANEJAMENTO!G176)</f>
        <v/>
      </c>
      <c r="F176" t="str">
        <f t="shared" si="24"/>
        <v/>
      </c>
      <c r="G176" s="5"/>
      <c r="H176" s="5"/>
      <c r="I176" s="10" t="str">
        <f t="shared" ca="1" si="15"/>
        <v>🕓 EM ANDAMENTO</v>
      </c>
      <c r="J176" s="1" t="str">
        <f t="shared" ca="1" si="25"/>
        <v/>
      </c>
    </row>
    <row r="177" spans="1:10" ht="15" customHeight="1" x14ac:dyDescent="0.3">
      <c r="A177" s="6" t="str">
        <f>IF(PLANEJAMENTO!A177="","",PLANEJAMENTO!A177)</f>
        <v/>
      </c>
      <c r="B177" s="6" t="str">
        <f>IF(PLANEJAMENTO!B177="","",PLANEJAMENTO!B177)</f>
        <v/>
      </c>
      <c r="C177" s="6" t="str">
        <f>IF(PLANEJAMENTO!D177="","",PLANEJAMENTO!D177)</f>
        <v/>
      </c>
      <c r="D177" s="6" t="str">
        <f>IF(PLANEJAMENTO!C177="","",PLANEJAMENTO!C177)</f>
        <v/>
      </c>
      <c r="E177" s="1" t="str">
        <f>IF(PLANEJAMENTO!G177="","",PLANEJAMENTO!G177)</f>
        <v/>
      </c>
      <c r="F177" t="str">
        <f t="shared" si="24"/>
        <v/>
      </c>
      <c r="G177" s="5"/>
      <c r="H177" s="5"/>
      <c r="I177" s="10" t="str">
        <f t="shared" ca="1" si="15"/>
        <v>🕓 EM ANDAMENTO</v>
      </c>
      <c r="J177" s="1" t="str">
        <f t="shared" ca="1" si="25"/>
        <v/>
      </c>
    </row>
    <row r="178" spans="1:10" ht="15" customHeight="1" x14ac:dyDescent="0.3">
      <c r="A178" s="6" t="str">
        <f>IF(PLANEJAMENTO!A178="","",PLANEJAMENTO!A178)</f>
        <v/>
      </c>
      <c r="B178" s="6" t="str">
        <f>IF(PLANEJAMENTO!B178="","",PLANEJAMENTO!B178)</f>
        <v/>
      </c>
      <c r="C178" s="6" t="str">
        <f>IF(PLANEJAMENTO!D178="","",PLANEJAMENTO!D178)</f>
        <v/>
      </c>
      <c r="D178" s="6" t="str">
        <f>IF(PLANEJAMENTO!C178="","",PLANEJAMENTO!C178)</f>
        <v/>
      </c>
      <c r="E178" s="1" t="str">
        <f>IF(PLANEJAMENTO!G178="","",PLANEJAMENTO!G178)</f>
        <v/>
      </c>
      <c r="F178" t="str">
        <f t="shared" si="24"/>
        <v/>
      </c>
      <c r="G178" s="5"/>
      <c r="H178" s="5"/>
      <c r="I178" s="10" t="str">
        <f t="shared" ca="1" si="15"/>
        <v>🕓 EM ANDAMENTO</v>
      </c>
      <c r="J178" s="1" t="str">
        <f t="shared" ca="1" si="25"/>
        <v/>
      </c>
    </row>
    <row r="179" spans="1:10" ht="15" customHeight="1" x14ac:dyDescent="0.3">
      <c r="A179" s="6" t="str">
        <f>IF(PLANEJAMENTO!A179="","",PLANEJAMENTO!A179)</f>
        <v/>
      </c>
      <c r="B179" s="6" t="str">
        <f>IF(PLANEJAMENTO!B179="","",PLANEJAMENTO!B179)</f>
        <v/>
      </c>
      <c r="C179" s="6" t="str">
        <f>IF(PLANEJAMENTO!D179="","",PLANEJAMENTO!D179)</f>
        <v/>
      </c>
      <c r="D179" s="6" t="str">
        <f>IF(PLANEJAMENTO!C179="","",PLANEJAMENTO!C179)</f>
        <v/>
      </c>
      <c r="E179" s="1" t="str">
        <f>IF(PLANEJAMENTO!G179="","",PLANEJAMENTO!G179)</f>
        <v/>
      </c>
      <c r="F179" t="str">
        <f t="shared" si="24"/>
        <v/>
      </c>
      <c r="G179" s="5"/>
      <c r="H179" s="5"/>
      <c r="I179" s="10" t="str">
        <f t="shared" ca="1" si="15"/>
        <v>🕓 EM ANDAMENTO</v>
      </c>
      <c r="J179" s="1" t="str">
        <f t="shared" ca="1" si="25"/>
        <v/>
      </c>
    </row>
    <row r="180" spans="1:10" ht="15" customHeight="1" x14ac:dyDescent="0.3">
      <c r="A180" s="6" t="str">
        <f>IF(PLANEJAMENTO!A180="","",PLANEJAMENTO!A180)</f>
        <v/>
      </c>
      <c r="B180" s="6" t="str">
        <f>IF(PLANEJAMENTO!B180="","",PLANEJAMENTO!B180)</f>
        <v/>
      </c>
      <c r="C180" s="6" t="str">
        <f>IF(PLANEJAMENTO!D180="","",PLANEJAMENTO!D180)</f>
        <v/>
      </c>
      <c r="D180" s="6" t="str">
        <f>IF(PLANEJAMENTO!C180="","",PLANEJAMENTO!C180)</f>
        <v/>
      </c>
      <c r="E180" s="1" t="str">
        <f>IF(PLANEJAMENTO!G180="","",PLANEJAMENTO!G180)</f>
        <v/>
      </c>
      <c r="F180" t="str">
        <f t="shared" si="24"/>
        <v/>
      </c>
      <c r="G180" s="5"/>
      <c r="H180" s="5"/>
      <c r="I180" s="10" t="str">
        <f t="shared" ca="1" si="15"/>
        <v>🕓 EM ANDAMENTO</v>
      </c>
      <c r="J180" s="1" t="str">
        <f t="shared" ca="1" si="25"/>
        <v/>
      </c>
    </row>
    <row r="181" spans="1:10" ht="15" customHeight="1" x14ac:dyDescent="0.3">
      <c r="A181" s="6" t="str">
        <f>IF(PLANEJAMENTO!A181="","",PLANEJAMENTO!A181)</f>
        <v/>
      </c>
      <c r="B181" s="6" t="str">
        <f>IF(PLANEJAMENTO!B181="","",PLANEJAMENTO!B181)</f>
        <v/>
      </c>
      <c r="C181" s="6" t="str">
        <f>IF(PLANEJAMENTO!D181="","",PLANEJAMENTO!D181)</f>
        <v/>
      </c>
      <c r="D181" s="6" t="str">
        <f>IF(PLANEJAMENTO!C181="","",PLANEJAMENTO!C181)</f>
        <v/>
      </c>
      <c r="E181" s="1" t="str">
        <f>IF(PLANEJAMENTO!G181="","",PLANEJAMENTO!G181)</f>
        <v/>
      </c>
      <c r="F181" t="str">
        <f t="shared" si="24"/>
        <v/>
      </c>
      <c r="G181" s="5"/>
      <c r="H181" s="5"/>
      <c r="I181" s="10" t="str">
        <f t="shared" ca="1" si="15"/>
        <v>🕓 EM ANDAMENTO</v>
      </c>
      <c r="J181" s="1" t="str">
        <f t="shared" ca="1" si="25"/>
        <v/>
      </c>
    </row>
    <row r="182" spans="1:10" ht="15" customHeight="1" x14ac:dyDescent="0.3">
      <c r="A182" s="6" t="str">
        <f>IF(PLANEJAMENTO!A182="","",PLANEJAMENTO!A182)</f>
        <v/>
      </c>
      <c r="B182" s="6" t="str">
        <f>IF(PLANEJAMENTO!B182="","",PLANEJAMENTO!B182)</f>
        <v/>
      </c>
      <c r="C182" s="6" t="str">
        <f>IF(PLANEJAMENTO!D182="","",PLANEJAMENTO!D182)</f>
        <v/>
      </c>
      <c r="D182" s="6" t="str">
        <f>IF(PLANEJAMENTO!C182="","",PLANEJAMENTO!C182)</f>
        <v/>
      </c>
      <c r="E182" s="1" t="str">
        <f>IF(PLANEJAMENTO!G182="","",PLANEJAMENTO!G182)</f>
        <v/>
      </c>
      <c r="F182" t="str">
        <f t="shared" si="24"/>
        <v/>
      </c>
      <c r="G182" s="5"/>
      <c r="H182" s="5"/>
      <c r="I182" s="10" t="str">
        <f t="shared" ca="1" si="15"/>
        <v>🕓 EM ANDAMENTO</v>
      </c>
      <c r="J182" s="1" t="str">
        <f t="shared" ca="1" si="25"/>
        <v/>
      </c>
    </row>
    <row r="183" spans="1:10" ht="15" customHeight="1" x14ac:dyDescent="0.3">
      <c r="A183" s="6" t="str">
        <f>IF(PLANEJAMENTO!A183="","",PLANEJAMENTO!A183)</f>
        <v/>
      </c>
      <c r="B183" s="6" t="str">
        <f>IF(PLANEJAMENTO!B183="","",PLANEJAMENTO!B183)</f>
        <v/>
      </c>
      <c r="C183" s="6" t="str">
        <f>IF(PLANEJAMENTO!D183="","",PLANEJAMENTO!D183)</f>
        <v/>
      </c>
      <c r="D183" s="6" t="str">
        <f>IF(PLANEJAMENTO!C183="","",PLANEJAMENTO!C183)</f>
        <v/>
      </c>
      <c r="E183" s="1" t="str">
        <f>IF(PLANEJAMENTO!G183="","",PLANEJAMENTO!G183)</f>
        <v/>
      </c>
      <c r="F183" t="str">
        <f t="shared" si="24"/>
        <v/>
      </c>
      <c r="G183" s="5"/>
      <c r="H183" s="5"/>
      <c r="I183" s="10" t="str">
        <f t="shared" ca="1" si="15"/>
        <v>🕓 EM ANDAMENTO</v>
      </c>
      <c r="J183" s="1" t="str">
        <f t="shared" ca="1" si="25"/>
        <v/>
      </c>
    </row>
    <row r="184" spans="1:10" ht="15" customHeight="1" x14ac:dyDescent="0.3">
      <c r="A184" s="6" t="str">
        <f>IF(PLANEJAMENTO!A184="","",PLANEJAMENTO!A184)</f>
        <v/>
      </c>
      <c r="B184" s="6" t="str">
        <f>IF(PLANEJAMENTO!B184="","",PLANEJAMENTO!B184)</f>
        <v/>
      </c>
      <c r="C184" s="6" t="str">
        <f>IF(PLANEJAMENTO!D184="","",PLANEJAMENTO!D184)</f>
        <v/>
      </c>
      <c r="D184" s="6" t="str">
        <f>IF(PLANEJAMENTO!C184="","",PLANEJAMENTO!C184)</f>
        <v/>
      </c>
      <c r="E184" s="1" t="str">
        <f>IF(PLANEJAMENTO!G184="","",PLANEJAMENTO!G184)</f>
        <v/>
      </c>
      <c r="F184" t="str">
        <f t="shared" si="24"/>
        <v/>
      </c>
      <c r="G184" s="5"/>
      <c r="H184" s="5"/>
      <c r="I184" s="10" t="str">
        <f t="shared" ca="1" si="15"/>
        <v>🕓 EM ANDAMENTO</v>
      </c>
      <c r="J184" s="1" t="str">
        <f t="shared" ca="1" si="25"/>
        <v/>
      </c>
    </row>
    <row r="185" spans="1:10" ht="15" customHeight="1" x14ac:dyDescent="0.3">
      <c r="A185" s="6" t="str">
        <f>IF(PLANEJAMENTO!A185="","",PLANEJAMENTO!A185)</f>
        <v/>
      </c>
      <c r="B185" s="6" t="str">
        <f>IF(PLANEJAMENTO!B185="","",PLANEJAMENTO!B185)</f>
        <v/>
      </c>
      <c r="C185" s="6" t="str">
        <f>IF(PLANEJAMENTO!D185="","",PLANEJAMENTO!D185)</f>
        <v/>
      </c>
      <c r="D185" s="6" t="str">
        <f>IF(PLANEJAMENTO!C185="","",PLANEJAMENTO!C185)</f>
        <v/>
      </c>
      <c r="E185" s="1" t="str">
        <f>IF(PLANEJAMENTO!G185="","",PLANEJAMENTO!G185)</f>
        <v/>
      </c>
      <c r="F185" t="str">
        <f t="shared" si="24"/>
        <v/>
      </c>
      <c r="G185" s="5"/>
      <c r="H185" s="5"/>
      <c r="I185" s="10" t="str">
        <f t="shared" ca="1" si="15"/>
        <v>🕓 EM ANDAMENTO</v>
      </c>
      <c r="J185" s="1" t="str">
        <f t="shared" ca="1" si="25"/>
        <v/>
      </c>
    </row>
  </sheetData>
  <conditionalFormatting sqref="I2:I185">
    <cfRule type="expression" dxfId="21" priority="1">
      <formula>LEFT(I2,1)="✅"</formula>
    </cfRule>
    <cfRule type="expression" dxfId="20" priority="2">
      <formula>LEFT(I2,1)="🕓"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A226-24E6-4F79-8D29-19B25CD7188F}">
  <dimension ref="A1:T185"/>
  <sheetViews>
    <sheetView topLeftCell="A25" zoomScaleNormal="100" workbookViewId="0">
      <pane xSplit="1" topLeftCell="C1" activePane="topRight" state="frozen"/>
      <selection pane="topRight" activeCell="E11" sqref="E11"/>
    </sheetView>
  </sheetViews>
  <sheetFormatPr defaultRowHeight="15" customHeight="1" x14ac:dyDescent="0.3"/>
  <cols>
    <col min="1" max="1" width="21.33203125" style="1" customWidth="1"/>
    <col min="2" max="2" width="21.33203125" style="1" hidden="1" customWidth="1"/>
    <col min="3" max="3" width="20.44140625" style="1" customWidth="1"/>
    <col min="4" max="4" width="30.44140625" style="1" bestFit="1" customWidth="1"/>
    <col min="5" max="5" width="30.44140625" style="1" customWidth="1"/>
    <col min="6" max="6" width="17.88671875" style="1" customWidth="1"/>
    <col min="7" max="7" width="12.109375" style="1" customWidth="1"/>
    <col min="8" max="8" width="17.44140625" style="1" customWidth="1"/>
    <col min="9" max="9" width="18.5546875" style="1" bestFit="1" customWidth="1"/>
    <col min="10" max="10" width="22.6640625" style="1" bestFit="1" customWidth="1"/>
    <col min="11" max="11" width="27.6640625" style="1" bestFit="1" customWidth="1"/>
    <col min="12" max="12" width="16.5546875" style="1" customWidth="1"/>
    <col min="13" max="13" width="13.6640625" style="1" customWidth="1"/>
    <col min="14" max="14" width="20.5546875" style="1" bestFit="1" customWidth="1"/>
    <col min="15" max="16" width="25.33203125" style="1" customWidth="1"/>
    <col min="17" max="19" width="14.44140625" style="1" customWidth="1"/>
    <col min="20" max="20" width="15.44140625" style="1" customWidth="1"/>
  </cols>
  <sheetData>
    <row r="1" spans="1:20" x14ac:dyDescent="0.3">
      <c r="A1" s="1" t="s">
        <v>0</v>
      </c>
      <c r="B1" s="1" t="s">
        <v>1</v>
      </c>
      <c r="C1" s="1" t="s">
        <v>586</v>
      </c>
      <c r="D1" s="1" t="s">
        <v>587</v>
      </c>
      <c r="E1" s="1" t="s">
        <v>588</v>
      </c>
      <c r="F1" s="1" t="s">
        <v>589</v>
      </c>
      <c r="G1" s="1" t="s">
        <v>590</v>
      </c>
      <c r="H1" s="1" t="s">
        <v>591</v>
      </c>
      <c r="I1" s="1" t="s">
        <v>592</v>
      </c>
      <c r="J1" s="1" t="s">
        <v>593</v>
      </c>
      <c r="K1" s="1" t="s">
        <v>594</v>
      </c>
      <c r="L1" s="1" t="s">
        <v>595</v>
      </c>
      <c r="M1" s="1" t="s">
        <v>596</v>
      </c>
      <c r="N1" s="1" t="s">
        <v>597</v>
      </c>
      <c r="O1" s="1" t="s">
        <v>598</v>
      </c>
      <c r="P1" s="1" t="s">
        <v>599</v>
      </c>
      <c r="Q1" s="1" t="s">
        <v>600</v>
      </c>
      <c r="R1" s="1" t="s">
        <v>601</v>
      </c>
      <c r="S1" s="1" t="s">
        <v>602</v>
      </c>
      <c r="T1" s="1" t="s">
        <v>603</v>
      </c>
    </row>
    <row r="2" spans="1:20" x14ac:dyDescent="0.3">
      <c r="A2" s="1" t="str">
        <f>IF(PLANEJAMENTO!A2="","",PLANEJAMENTO!A2)</f>
        <v>BR88410-A</v>
      </c>
      <c r="B2" s="1" t="str">
        <f>IF(PLANEJAMENTO!B2="","",PLANEJAMENTO!B2)</f>
        <v>contel-01</v>
      </c>
      <c r="S2" s="1" t="str">
        <f>IFERROR(
IF(
UPPER(TRIM(_xlfn.XLOOKUP(B2,PLANEJAMENTO!B:B,PLANEJAMENTO!T:T)))="🚫CANCELADO",
"x",
""
),
"")</f>
        <v/>
      </c>
      <c r="T2" s="1" t="str">
        <f>IFERROR(
IF(
UPPER(TRIM(_xlfn.XLOOKUP(B2,PLANEJAMENTO!B:B,PLANEJAMENTO!T:T)))="✅ CONCLUÍDO",
"x",
""
),
"")</f>
        <v>x</v>
      </c>
    </row>
    <row r="3" spans="1:20" x14ac:dyDescent="0.3">
      <c r="A3" s="1" t="str">
        <f>IF(PLANEJAMENTO!A3="","",PLANEJAMENTO!A3)</f>
        <v>BR87873-R</v>
      </c>
      <c r="B3" s="1" t="str">
        <f>IF(PLANEJAMENTO!B3="","",PLANEJAMENTO!B3)</f>
        <v>contel-02</v>
      </c>
      <c r="S3" s="1" t="str">
        <f>IFERROR(
IF(
UPPER(TRIM(_xlfn.XLOOKUP(A3,PLANEJAMENTO!A:A,PLANEJAMENTO!T:T)))="🚫CANCELADO",
"x",
""
),
"")</f>
        <v/>
      </c>
      <c r="T3" s="1" t="str">
        <f>IFERROR(
IF(
UPPER(TRIM(_xlfn.XLOOKUP(B3,PLANEJAMENTO!B:B,PLANEJAMENTO!T:T)))="✅ CONCLUÍDO",
"x",
""
),
"")</f>
        <v>x</v>
      </c>
    </row>
    <row r="4" spans="1:20" x14ac:dyDescent="0.3">
      <c r="A4" s="1" t="str">
        <f>IF(PLANEJAMENTO!A4="","",PLANEJAMENTO!A4)</f>
        <v>BR72396-A</v>
      </c>
      <c r="B4" s="1" t="str">
        <f>IF(PLANEJAMENTO!B4="","",PLANEJAMENTO!B4)</f>
        <v>contel-03</v>
      </c>
      <c r="S4" s="1" t="str">
        <f>IFERROR(
IF(
UPPER(TRIM(_xlfn.XLOOKUP(A4,PLANEJAMENTO!A:A,PLANEJAMENTO!T:T)))="🚫CANCELADO",
"x",
""
),
"")</f>
        <v/>
      </c>
      <c r="T4" s="1" t="str">
        <f>IFERROR(
IF(
UPPER(TRIM(_xlfn.XLOOKUP(B4,PLANEJAMENTO!B:B,PLANEJAMENTO!T:T)))="✅ CONCLUÍDO",
"x",
""
),
"")</f>
        <v>x</v>
      </c>
    </row>
    <row r="5" spans="1:20" x14ac:dyDescent="0.3">
      <c r="A5" s="1">
        <f>IF(PLANEJAMENTO!A5="","",PLANEJAMENTO!A5)</f>
        <v>47080009</v>
      </c>
      <c r="B5" s="1" t="str">
        <f>IF(PLANEJAMENTO!B5="","",PLANEJAMENTO!B5)</f>
        <v>contel-04</v>
      </c>
      <c r="S5" s="1" t="str">
        <f>IFERROR(
IF(
UPPER(TRIM(_xlfn.XLOOKUP(A5,PLANEJAMENTO!A:A,PLANEJAMENTO!T:T)))="🚫CANCELADO",
"x",
""
),
"")</f>
        <v/>
      </c>
      <c r="T5" s="1" t="str">
        <f>IFERROR(
IF(
UPPER(TRIM(_xlfn.XLOOKUP(B5,PLANEJAMENTO!B:B,PLANEJAMENTO!T:T)))="✅ CONCLUÍDO",
"x",
""
),
"")</f>
        <v>x</v>
      </c>
    </row>
    <row r="6" spans="1:20" x14ac:dyDescent="0.3">
      <c r="A6" s="1">
        <f>IF(PLANEJAMENTO!A6="","",PLANEJAMENTO!A6)</f>
        <v>38050011</v>
      </c>
      <c r="B6" s="1" t="str">
        <f>IF(PLANEJAMENTO!B6="","",PLANEJAMENTO!B6)</f>
        <v>contel-05</v>
      </c>
      <c r="P6" s="1" t="s">
        <v>604</v>
      </c>
      <c r="Q6" s="1" t="s">
        <v>604</v>
      </c>
      <c r="S6" s="1" t="str">
        <f ca="1">IFERROR(
IF(
UPPER(TRIM(_xlfn.XLOOKUP(A6,PLANEJAMENTO!A:A,PLANEJAMENTO!T:T)))="🚫CANCELADO",
"x",
""
),
"")</f>
        <v/>
      </c>
      <c r="T6" s="1" t="str">
        <f ca="1">IFERROR(
IF(
UPPER(TRIM(_xlfn.XLOOKUP(B6,PLANEJAMENTO!B:B,PLANEJAMENTO!T:T)))="✅ CONCLUÍDO",
"x",
""
),
"")</f>
        <v/>
      </c>
    </row>
    <row r="7" spans="1:20" x14ac:dyDescent="0.3">
      <c r="A7" s="1">
        <f>IF(PLANEJAMENTO!A7="","",PLANEJAMENTO!A7)</f>
        <v>38050012</v>
      </c>
      <c r="B7" s="1" t="str">
        <f>IF(PLANEJAMENTO!B7="","",PLANEJAMENTO!B7)</f>
        <v>contel-06</v>
      </c>
      <c r="P7" s="1" t="s">
        <v>604</v>
      </c>
      <c r="Q7" s="1" t="s">
        <v>604</v>
      </c>
      <c r="S7" s="1" t="str">
        <f ca="1">IFERROR(
IF(
UPPER(TRIM(_xlfn.XLOOKUP(A7,PLANEJAMENTO!A:A,PLANEJAMENTO!T:T)))="🚫CANCELADO",
"x",
""
),
"")</f>
        <v/>
      </c>
      <c r="T7" s="1" t="str">
        <f ca="1">IFERROR(
IF(
UPPER(TRIM(_xlfn.XLOOKUP(B7,PLANEJAMENTO!B:B,PLANEJAMENTO!T:T)))="✅ CONCLUÍDO",
"x",
""
),
"")</f>
        <v/>
      </c>
    </row>
    <row r="8" spans="1:20" x14ac:dyDescent="0.3">
      <c r="A8" s="1">
        <f>IF(PLANEJAMENTO!A8="","",PLANEJAMENTO!A8)</f>
        <v>33050064</v>
      </c>
      <c r="B8" s="1" t="str">
        <f>IF(PLANEJAMENTO!B8="","",PLANEJAMENTO!B8)</f>
        <v>contel-07</v>
      </c>
      <c r="P8" s="1" t="s">
        <v>604</v>
      </c>
      <c r="Q8" s="1" t="s">
        <v>604</v>
      </c>
      <c r="S8" s="1" t="str">
        <f ca="1">IFERROR(
IF(
UPPER(TRIM(_xlfn.XLOOKUP(A8,PLANEJAMENTO!A:A,PLANEJAMENTO!T:T)))="🚫CANCELADO",
"x",
""
),
"")</f>
        <v/>
      </c>
      <c r="T8" s="1" t="str">
        <f ca="1">IFERROR(
IF(
UPPER(TRIM(_xlfn.XLOOKUP(B8,PLANEJAMENTO!B:B,PLANEJAMENTO!T:T)))="✅ CONCLUÍDO",
"x",
""
),
"")</f>
        <v/>
      </c>
    </row>
    <row r="9" spans="1:20" x14ac:dyDescent="0.3">
      <c r="A9" s="1">
        <f>IF(PLANEJAMENTO!A9="","",PLANEJAMENTO!A9)</f>
        <v>38050013</v>
      </c>
      <c r="B9" s="1" t="str">
        <f>IF(PLANEJAMENTO!B9="","",PLANEJAMENTO!B9)</f>
        <v>contel-08</v>
      </c>
      <c r="P9" s="1" t="s">
        <v>604</v>
      </c>
      <c r="Q9" s="1" t="s">
        <v>604</v>
      </c>
      <c r="S9" s="1" t="str">
        <f ca="1">IFERROR(
IF(
UPPER(TRIM(_xlfn.XLOOKUP(A9,PLANEJAMENTO!A:A,PLANEJAMENTO!T:T)))="🚫CANCELADO",
"x",
""
),
"")</f>
        <v/>
      </c>
      <c r="T9" s="1" t="str">
        <f ca="1">IFERROR(
IF(
UPPER(TRIM(_xlfn.XLOOKUP(B9,PLANEJAMENTO!B:B,PLANEJAMENTO!T:T)))="✅ CONCLUÍDO",
"x",
""
),
"")</f>
        <v/>
      </c>
    </row>
    <row r="10" spans="1:20" x14ac:dyDescent="0.3">
      <c r="A10" s="1">
        <f>IF(PLANEJAMENTO!A10="","",PLANEJAMENTO!A10)</f>
        <v>38050008</v>
      </c>
      <c r="B10" s="1" t="str">
        <f>IF(PLANEJAMENTO!B10="","",PLANEJAMENTO!B10)</f>
        <v>contel-09</v>
      </c>
      <c r="P10" s="1" t="s">
        <v>604</v>
      </c>
      <c r="Q10" s="1" t="s">
        <v>604</v>
      </c>
      <c r="S10" s="1" t="str">
        <f ca="1">IFERROR(
IF(
UPPER(TRIM(_xlfn.XLOOKUP(A10,PLANEJAMENTO!A:A,PLANEJAMENTO!T:T)))="🚫CANCELADO",
"x",
""
),
"")</f>
        <v/>
      </c>
      <c r="T10" s="1" t="str">
        <f ca="1">IFERROR(
IF(
UPPER(TRIM(_xlfn.XLOOKUP(B10,PLANEJAMENTO!B:B,PLANEJAMENTO!T:T)))="✅ CONCLUÍDO",
"x",
""
),
"")</f>
        <v/>
      </c>
    </row>
    <row r="11" spans="1:20" x14ac:dyDescent="0.3">
      <c r="A11" s="1">
        <f>IF(PLANEJAMENTO!A11="","",PLANEJAMENTO!A11)</f>
        <v>88050062</v>
      </c>
      <c r="B11" s="1" t="str">
        <f>IF(PLANEJAMENTO!B11="","",PLANEJAMENTO!B11)</f>
        <v>contel-10</v>
      </c>
      <c r="S11" s="1" t="str">
        <f>IFERROR(
IF(
UPPER(TRIM(_xlfn.XLOOKUP(A11,PLANEJAMENTO!A:A,PLANEJAMENTO!T:T)))="🚫CANCELADO",
"x",
""
),
"")</f>
        <v/>
      </c>
      <c r="T11" s="1" t="str">
        <f>IFERROR(
IF(
UPPER(TRIM(_xlfn.XLOOKUP(B11,PLANEJAMENTO!B:B,PLANEJAMENTO!T:T)))="✅ CONCLUÍDO",
"x",
""
),
"")</f>
        <v>x</v>
      </c>
    </row>
    <row r="12" spans="1:20" x14ac:dyDescent="0.3">
      <c r="A12" s="1">
        <f>IF(PLANEJAMENTO!A12="","",PLANEJAMENTO!A12)</f>
        <v>88050069</v>
      </c>
      <c r="B12" s="1" t="str">
        <f>IF(PLANEJAMENTO!B12="","",PLANEJAMENTO!B12)</f>
        <v>contel-11</v>
      </c>
      <c r="S12" s="1" t="str">
        <f>IFERROR(
IF(
UPPER(TRIM(_xlfn.XLOOKUP(A12,PLANEJAMENTO!A:A,PLANEJAMENTO!T:T)))="🚫CANCELADO",
"x",
""
),
"")</f>
        <v/>
      </c>
      <c r="T12" s="1" t="str">
        <f>IFERROR(
IF(
UPPER(TRIM(_xlfn.XLOOKUP(B12,PLANEJAMENTO!B:B,PLANEJAMENTO!T:T)))="✅ CONCLUÍDO",
"x",
""
),
"")</f>
        <v>x</v>
      </c>
    </row>
    <row r="13" spans="1:20" x14ac:dyDescent="0.3">
      <c r="A13" s="1">
        <f>IF(PLANEJAMENTO!A13="","",PLANEJAMENTO!A13)</f>
        <v>83010085</v>
      </c>
      <c r="B13" s="1" t="str">
        <f>IF(PLANEJAMENTO!B13="","",PLANEJAMENTO!B13)</f>
        <v>contel-12</v>
      </c>
      <c r="E13" s="1" t="s">
        <v>604</v>
      </c>
      <c r="K13" s="1" t="s">
        <v>604</v>
      </c>
      <c r="S13" s="1" t="str">
        <f ca="1">IFERROR(
IF(
UPPER(TRIM(_xlfn.XLOOKUP(A13,PLANEJAMENTO!A:A,PLANEJAMENTO!T:T)))="🚫CANCELADO",
"x",
""
),
"")</f>
        <v/>
      </c>
      <c r="T13" s="1" t="str">
        <f ca="1">IFERROR(
IF(
UPPER(TRIM(_xlfn.XLOOKUP(B13,PLANEJAMENTO!B:B,PLANEJAMENTO!T:T)))="✅ CONCLUÍDO",
"x",
""
),
"")</f>
        <v/>
      </c>
    </row>
    <row r="14" spans="1:20" x14ac:dyDescent="0.3">
      <c r="A14" s="1">
        <f>IF(PLANEJAMENTO!A14="","",PLANEJAMENTO!A14)</f>
        <v>89050013</v>
      </c>
      <c r="B14" s="1" t="str">
        <f>IF(PLANEJAMENTO!B14="","",PLANEJAMENTO!B14)</f>
        <v>contel-13</v>
      </c>
      <c r="E14" s="1" t="s">
        <v>604</v>
      </c>
      <c r="K14" s="1" t="s">
        <v>604</v>
      </c>
      <c r="S14" s="1" t="str">
        <f ca="1">IFERROR(
IF(
UPPER(TRIM(_xlfn.XLOOKUP(A14,PLANEJAMENTO!A:A,PLANEJAMENTO!T:T)))="🚫CANCELADO",
"x",
""
),
"")</f>
        <v/>
      </c>
      <c r="T14" s="1" t="str">
        <f ca="1">IFERROR(
IF(
UPPER(TRIM(_xlfn.XLOOKUP(B14,PLANEJAMENTO!B:B,PLANEJAMENTO!T:T)))="✅ CONCLUÍDO",
"x",
""
),
"")</f>
        <v/>
      </c>
    </row>
    <row r="15" spans="1:20" x14ac:dyDescent="0.3">
      <c r="A15" s="1" t="str">
        <f>IF(PLANEJAMENTO!A15="","",PLANEJAMENTO!A15)</f>
        <v>BR55017-A</v>
      </c>
      <c r="B15" s="1" t="str">
        <f>IF(PLANEJAMENTO!B15="","",PLANEJAMENTO!B15)</f>
        <v>contel-14</v>
      </c>
      <c r="S15" s="1" t="str">
        <f>IFERROR(
IF(
UPPER(TRIM(_xlfn.XLOOKUP(A15,PLANEJAMENTO!A:A,PLANEJAMENTO!T:T)))="🚫CANCELADO",
"x",
""
),
"")</f>
        <v/>
      </c>
      <c r="T15" s="1" t="str">
        <f>IFERROR(
IF(
UPPER(TRIM(_xlfn.XLOOKUP(B15,PLANEJAMENTO!B:B,PLANEJAMENTO!T:T)))="✅ CONCLUÍDO",
"x",
""
),
"")</f>
        <v>x</v>
      </c>
    </row>
    <row r="16" spans="1:20" x14ac:dyDescent="0.3">
      <c r="A16" s="1" t="str">
        <f>IF(PLANEJAMENTO!A16="","",PLANEJAMENTO!A16)</f>
        <v>BR56393-A</v>
      </c>
      <c r="B16" s="1" t="str">
        <f>IF(PLANEJAMENTO!B16="","",PLANEJAMENTO!B16)</f>
        <v>contel-15</v>
      </c>
      <c r="S16" s="1" t="str">
        <f>IFERROR(
IF(
UPPER(TRIM(_xlfn.XLOOKUP(A16,PLANEJAMENTO!A:A,PLANEJAMENTO!T:T)))="🚫CANCELADO",
"x",
""
),
"")</f>
        <v/>
      </c>
      <c r="T16" s="1" t="str">
        <f>IFERROR(
IF(
UPPER(TRIM(_xlfn.XLOOKUP(B16,PLANEJAMENTO!B:B,PLANEJAMENTO!T:T)))="✅ CONCLUÍDO",
"x",
""
),
"")</f>
        <v>x</v>
      </c>
    </row>
    <row r="17" spans="1:20" x14ac:dyDescent="0.3">
      <c r="A17" s="1" t="str">
        <f>IF(PLANEJAMENTO!A17="","",PLANEJAMENTO!A17)</f>
        <v>BR72051-A</v>
      </c>
      <c r="B17" s="1" t="str">
        <f>IF(PLANEJAMENTO!B17="","",PLANEJAMENTO!B17)</f>
        <v>contel-16</v>
      </c>
      <c r="S17" s="1" t="str">
        <f>IFERROR(
IF(
UPPER(TRIM(_xlfn.XLOOKUP(A17,PLANEJAMENTO!A:A,PLANEJAMENTO!T:T)))="🚫CANCELADO",
"x",
""
),
"")</f>
        <v/>
      </c>
      <c r="T17" s="1" t="str">
        <f>IFERROR(
IF(
UPPER(TRIM(_xlfn.XLOOKUP(B17,PLANEJAMENTO!B:B,PLANEJAMENTO!T:T)))="✅ CONCLUÍDO",
"x",
""
),
"")</f>
        <v>x</v>
      </c>
    </row>
    <row r="18" spans="1:20" x14ac:dyDescent="0.3">
      <c r="A18" s="1" t="str">
        <f>IF(PLANEJAMENTO!A18="","",PLANEJAMENTO!A18)</f>
        <v>BR72113-A</v>
      </c>
      <c r="B18" s="1" t="str">
        <f>IF(PLANEJAMENTO!B18="","",PLANEJAMENTO!B18)</f>
        <v>contel-17</v>
      </c>
      <c r="S18" s="1" t="str">
        <f>IFERROR(
IF(
UPPER(TRIM(_xlfn.XLOOKUP(A18,PLANEJAMENTO!A:A,PLANEJAMENTO!T:T)))="🚫CANCELADO",
"x",
""
),
"")</f>
        <v/>
      </c>
      <c r="T18" s="1" t="str">
        <f>IFERROR(
IF(
UPPER(TRIM(_xlfn.XLOOKUP(B18,PLANEJAMENTO!B:B,PLANEJAMENTO!T:T)))="✅ CONCLUÍDO",
"x",
""
),
"")</f>
        <v>x</v>
      </c>
    </row>
    <row r="19" spans="1:20" x14ac:dyDescent="0.3">
      <c r="A19" s="1" t="str">
        <f>IF(PLANEJAMENTO!A19="","",PLANEJAMENTO!A19)</f>
        <v>BR80008-A</v>
      </c>
      <c r="B19" s="1" t="str">
        <f>IF(PLANEJAMENTO!B19="","",PLANEJAMENTO!B19)</f>
        <v>contel-18</v>
      </c>
      <c r="S19" s="1" t="str">
        <f>IFERROR(
IF(
UPPER(TRIM(_xlfn.XLOOKUP(A19,PLANEJAMENTO!A:A,PLANEJAMENTO!T:T)))="🚫CANCELADO",
"x",
""
),
"")</f>
        <v/>
      </c>
      <c r="T19" s="1" t="str">
        <f>IFERROR(
IF(
UPPER(TRIM(_xlfn.XLOOKUP(B19,PLANEJAMENTO!B:B,PLANEJAMENTO!T:T)))="✅ CONCLUÍDO",
"x",
""
),
"")</f>
        <v>x</v>
      </c>
    </row>
    <row r="20" spans="1:20" x14ac:dyDescent="0.3">
      <c r="A20" s="1" t="str">
        <f>IF(PLANEJAMENTO!A20="","",PLANEJAMENTO!A20)</f>
        <v>SPVTR004</v>
      </c>
      <c r="B20" s="1" t="str">
        <f>IF(PLANEJAMENTO!B20="","",PLANEJAMENTO!B20)</f>
        <v>contel-19</v>
      </c>
      <c r="S20" s="1" t="str">
        <f>IFERROR(
IF(
UPPER(TRIM(_xlfn.XLOOKUP(A20,PLANEJAMENTO!A:A,PLANEJAMENTO!T:T)))="🚫CANCELADO",
"x",
""
),
"")</f>
        <v/>
      </c>
      <c r="T20" s="1" t="str">
        <f>IFERROR(
IF(
UPPER(TRIM(_xlfn.XLOOKUP(B20,PLANEJAMENTO!B:B,PLANEJAMENTO!T:T)))="✅ CONCLUÍDO",
"x",
""
),
"")</f>
        <v>x</v>
      </c>
    </row>
    <row r="21" spans="1:20" x14ac:dyDescent="0.3">
      <c r="A21" s="1" t="str">
        <f>IF(PLANEJAMENTO!A21="","",PLANEJAMENTO!A21)</f>
        <v>BR88343-R</v>
      </c>
      <c r="B21" s="1" t="str">
        <f>IF(PLANEJAMENTO!B21="","",PLANEJAMENTO!B21)</f>
        <v>contel-20</v>
      </c>
      <c r="S21" s="1" t="str">
        <f>IFERROR(
IF(
UPPER(TRIM(_xlfn.XLOOKUP(A21,PLANEJAMENTO!A:A,PLANEJAMENTO!T:T)))="🚫CANCELADO",
"x",
""
),
"")</f>
        <v/>
      </c>
      <c r="T21" s="1" t="str">
        <f>IFERROR(
IF(
UPPER(TRIM(_xlfn.XLOOKUP(B21,PLANEJAMENTO!B:B,PLANEJAMENTO!T:T)))="✅ CONCLUÍDO",
"x",
""
),
"")</f>
        <v>x</v>
      </c>
    </row>
    <row r="22" spans="1:20" x14ac:dyDescent="0.3">
      <c r="A22" s="1" t="str">
        <f>IF(PLANEJAMENTO!A22="","",PLANEJAMENTO!A22)</f>
        <v>SCP-ALY-001</v>
      </c>
      <c r="B22" s="1" t="str">
        <f>IF(PLANEJAMENTO!B22="","",PLANEJAMENTO!B22)</f>
        <v>contel-21</v>
      </c>
      <c r="S22" s="1" t="str">
        <f>IFERROR(
IF(
UPPER(TRIM(_xlfn.XLOOKUP(A22,PLANEJAMENTO!A:A,PLANEJAMENTO!T:T)))="🚫CANCELADO",
"x",
""
),
"")</f>
        <v/>
      </c>
      <c r="T22" s="1" t="str">
        <f>IFERROR(
IF(
UPPER(TRIM(_xlfn.XLOOKUP(B22,PLANEJAMENTO!B:B,PLANEJAMENTO!T:T)))="✅ CONCLUÍDO",
"x",
""
),
"")</f>
        <v>x</v>
      </c>
    </row>
    <row r="23" spans="1:20" x14ac:dyDescent="0.3">
      <c r="A23" s="1" t="str">
        <f>IF(PLANEJAMENTO!A23="","",PLANEJAMENTO!A23)</f>
        <v>BR56770-A</v>
      </c>
      <c r="B23" s="1" t="str">
        <f>IF(PLANEJAMENTO!B23="","",PLANEJAMENTO!B23)</f>
        <v>contel-22</v>
      </c>
      <c r="S23" s="1" t="str">
        <f>IFERROR(
IF(
UPPER(TRIM(_xlfn.XLOOKUP(A23,PLANEJAMENTO!A:A,PLANEJAMENTO!T:T)))="🚫CANCELADO",
"x",
""
),
"")</f>
        <v/>
      </c>
      <c r="T23" s="1" t="str">
        <f>IFERROR(
IF(
UPPER(TRIM(_xlfn.XLOOKUP(B23,PLANEJAMENTO!B:B,PLANEJAMENTO!T:T)))="✅ CONCLUÍDO",
"x",
""
),
"")</f>
        <v>x</v>
      </c>
    </row>
    <row r="24" spans="1:20" x14ac:dyDescent="0.3">
      <c r="A24" s="1" t="str">
        <f>IF(PLANEJAMENTO!A24="","",PLANEJAMENTO!A24)</f>
        <v>BR67246-A</v>
      </c>
      <c r="B24" s="1" t="str">
        <f>IF(PLANEJAMENTO!B24="","",PLANEJAMENTO!B24)</f>
        <v>contel-23</v>
      </c>
      <c r="S24" s="1" t="str">
        <f>IFERROR(
IF(
UPPER(TRIM(_xlfn.XLOOKUP(A24,PLANEJAMENTO!A:A,PLANEJAMENTO!T:T)))="🚫CANCELADO",
"x",
""
),
"")</f>
        <v/>
      </c>
      <c r="T24" s="1" t="str">
        <f>IFERROR(
IF(
UPPER(TRIM(_xlfn.XLOOKUP(B24,PLANEJAMENTO!B:B,PLANEJAMENTO!T:T)))="✅ CONCLUÍDO",
"x",
""
),
"")</f>
        <v>x</v>
      </c>
    </row>
    <row r="25" spans="1:20" x14ac:dyDescent="0.3">
      <c r="A25" s="1" t="str">
        <f>IF(PLANEJAMENTO!A25="","",PLANEJAMENTO!A25)</f>
        <v>BR67084-R</v>
      </c>
      <c r="B25" s="1" t="str">
        <f>IF(PLANEJAMENTO!B25="","",PLANEJAMENTO!B25)</f>
        <v>contel-24</v>
      </c>
      <c r="R25" s="1" t="s">
        <v>604</v>
      </c>
      <c r="S25" s="1" t="str">
        <f>IFERROR(
IF(
UPPER(TRIM(_xlfn.XLOOKUP(A25,PLANEJAMENTO!A:A,PLANEJAMENTO!T:T)))="🚫CANCELADO",
"x",
""
),
"")</f>
        <v/>
      </c>
      <c r="T25" s="1" t="str">
        <f>IFERROR(
IF(
UPPER(TRIM(_xlfn.XLOOKUP(B25,PLANEJAMENTO!B:B,PLANEJAMENTO!T:T)))="✅ CONCLUÍDO",
"x",
""
),
"")</f>
        <v/>
      </c>
    </row>
    <row r="26" spans="1:20" x14ac:dyDescent="0.3">
      <c r="A26" s="1" t="str">
        <f>IF(PLANEJAMENTO!A26="","",PLANEJAMENTO!A26)</f>
        <v>BR66924-R</v>
      </c>
      <c r="B26" s="1" t="str">
        <f>IF(PLANEJAMENTO!B26="","",PLANEJAMENTO!B26)</f>
        <v>contel-25</v>
      </c>
      <c r="S26" s="1" t="str">
        <f>IFERROR(
IF(
UPPER(TRIM(_xlfn.XLOOKUP(A26,PLANEJAMENTO!A:A,PLANEJAMENTO!T:T)))="🚫CANCELADO",
"x",
""
),
"")</f>
        <v/>
      </c>
      <c r="T26" s="1" t="str">
        <f>IFERROR(
IF(
UPPER(TRIM(_xlfn.XLOOKUP(B26,PLANEJAMENTO!B:B,PLANEJAMENTO!T:T)))="✅ CONCLUÍDO",
"x",
""
),
"")</f>
        <v>x</v>
      </c>
    </row>
    <row r="27" spans="1:20" x14ac:dyDescent="0.3">
      <c r="A27" s="1" t="str">
        <f>IF(PLANEJAMENTO!A27="","",PLANEJAMENTO!A27)</f>
        <v>BR67024-R</v>
      </c>
      <c r="B27" s="1" t="str">
        <f>IF(PLANEJAMENTO!B27="","",PLANEJAMENTO!B27)</f>
        <v>contel-26</v>
      </c>
      <c r="R27" s="1" t="s">
        <v>604</v>
      </c>
      <c r="S27" s="1" t="str">
        <f>IFERROR(
IF(
UPPER(TRIM(_xlfn.XLOOKUP(A27,PLANEJAMENTO!A:A,PLANEJAMENTO!T:T)))="🚫CANCELADO",
"x",
""
),
"")</f>
        <v/>
      </c>
      <c r="T27" s="1" t="str">
        <f>IFERROR(
IF(
UPPER(TRIM(_xlfn.XLOOKUP(B27,PLANEJAMENTO!B:B,PLANEJAMENTO!T:T)))="✅ CONCLUÍDO",
"x",
""
),
"")</f>
        <v/>
      </c>
    </row>
    <row r="28" spans="1:20" x14ac:dyDescent="0.3">
      <c r="A28" s="1" t="str">
        <f>IF(PLANEJAMENTO!A28="","",PLANEJAMENTO!A28)</f>
        <v>BR66989-R</v>
      </c>
      <c r="B28" s="1" t="str">
        <f>IF(PLANEJAMENTO!B28="","",PLANEJAMENTO!B28)</f>
        <v>contel-27</v>
      </c>
      <c r="Q28" s="1" t="s">
        <v>604</v>
      </c>
      <c r="S28" s="1" t="str">
        <f ca="1">IFERROR(
IF(
UPPER(TRIM(_xlfn.XLOOKUP(A28,PLANEJAMENTO!A:A,PLANEJAMENTO!T:T)))="🚫CANCELADO",
"x",
""
),
"")</f>
        <v/>
      </c>
      <c r="T28" s="1" t="str">
        <f ca="1">IFERROR(
IF(
UPPER(TRIM(_xlfn.XLOOKUP(B28,PLANEJAMENTO!B:B,PLANEJAMENTO!T:T)))="✅ CONCLUÍDO",
"x",
""
),
"")</f>
        <v/>
      </c>
    </row>
    <row r="29" spans="1:20" x14ac:dyDescent="0.3">
      <c r="A29" s="1" t="str">
        <f>IF(PLANEJAMENTO!A29="","",PLANEJAMENTO!A29)</f>
        <v>BR62939-A</v>
      </c>
      <c r="B29" s="1" t="str">
        <f>IF(PLANEJAMENTO!B29="","",PLANEJAMENTO!B29)</f>
        <v>contel-28</v>
      </c>
      <c r="S29" s="1" t="str">
        <f>IFERROR(
IF(
UPPER(TRIM(_xlfn.XLOOKUP(A29,PLANEJAMENTO!A:A,PLANEJAMENTO!T:T)))="🚫CANCELADO",
"x",
""
),
"")</f>
        <v/>
      </c>
      <c r="T29" s="1" t="str">
        <f>IFERROR(
IF(
UPPER(TRIM(_xlfn.XLOOKUP(B29,PLANEJAMENTO!B:B,PLANEJAMENTO!T:T)))="✅ CONCLUÍDO",
"x",
""
),
"")</f>
        <v>x</v>
      </c>
    </row>
    <row r="30" spans="1:20" x14ac:dyDescent="0.3">
      <c r="A30" s="1" t="str">
        <f>IF(PLANEJAMENTO!A30="","",PLANEJAMENTO!A30)</f>
        <v>BR67038-R</v>
      </c>
      <c r="B30" s="1" t="str">
        <f>IF(PLANEJAMENTO!B30="","",PLANEJAMENTO!B30)</f>
        <v>contel-29</v>
      </c>
      <c r="R30" s="1" t="s">
        <v>604</v>
      </c>
      <c r="S30" s="1" t="str">
        <f>IFERROR(
IF(
UPPER(TRIM(_xlfn.XLOOKUP(A30,PLANEJAMENTO!A:A,PLANEJAMENTO!T:T)))="🚫CANCELADO",
"x",
""
),
"")</f>
        <v/>
      </c>
      <c r="T30" s="1" t="str">
        <f>IFERROR(
IF(
UPPER(TRIM(_xlfn.XLOOKUP(B30,PLANEJAMENTO!B:B,PLANEJAMENTO!T:T)))="✅ CONCLUÍDO",
"x",
""
),
"")</f>
        <v/>
      </c>
    </row>
    <row r="31" spans="1:20" x14ac:dyDescent="0.3">
      <c r="A31" s="1" t="str">
        <f>IF(PLANEJAMENTO!A31="","",PLANEJAMENTO!A31)</f>
        <v>RSA CONGONHAS</v>
      </c>
      <c r="B31" s="1" t="str">
        <f>IF(PLANEJAMENTO!B31="","",PLANEJAMENTO!B31)</f>
        <v>contel-30</v>
      </c>
      <c r="M31" s="1" t="s">
        <v>604</v>
      </c>
      <c r="S31" s="1" t="str">
        <f ca="1">IFERROR(
IF(
UPPER(TRIM(_xlfn.XLOOKUP(A31,PLANEJAMENTO!A:A,PLANEJAMENTO!T:T)))="🚫CANCELADO",
"x",
""
),
"")</f>
        <v/>
      </c>
      <c r="T31" s="1" t="str">
        <f ca="1">IFERROR(
IF(
UPPER(TRIM(_xlfn.XLOOKUP(B31,PLANEJAMENTO!B:B,PLANEJAMENTO!T:T)))="✅ CONCLUÍDO",
"x",
""
),
"")</f>
        <v/>
      </c>
    </row>
    <row r="32" spans="1:20" x14ac:dyDescent="0.3">
      <c r="A32" s="1" t="str">
        <f>IF(PLANEJAMENTO!A32="","",PLANEJAMENTO!A32)</f>
        <v>PABLM017</v>
      </c>
      <c r="B32" s="1" t="str">
        <f>IF(PLANEJAMENTO!B32="","",PLANEJAMENTO!B32)</f>
        <v>contel-31</v>
      </c>
      <c r="S32" s="1" t="str">
        <f>IFERROR(
IF(
UPPER(TRIM(_xlfn.XLOOKUP(A32,PLANEJAMENTO!A:A,PLANEJAMENTO!T:T)))="🚫CANCELADO",
"x",
""
),
"")</f>
        <v/>
      </c>
      <c r="T32" s="1" t="str">
        <f>IFERROR(
IF(
UPPER(TRIM(_xlfn.XLOOKUP(B32,PLANEJAMENTO!B:B,PLANEJAMENTO!T:T)))="✅ CONCLUÍDO",
"x",
""
),
"")</f>
        <v>x</v>
      </c>
    </row>
    <row r="33" spans="1:20" x14ac:dyDescent="0.3">
      <c r="A33" s="1" t="str">
        <f>IF(PLANEJAMENTO!A33="","",PLANEJAMENTO!A33)</f>
        <v>SPO094NP</v>
      </c>
      <c r="B33" s="1" t="str">
        <f>IF(PLANEJAMENTO!B33="","",PLANEJAMENTO!B33)</f>
        <v>contel-32</v>
      </c>
      <c r="S33" s="1" t="str">
        <f>IFERROR(
IF(
UPPER(TRIM(_xlfn.XLOOKUP(A33,PLANEJAMENTO!A:A,PLANEJAMENTO!T:T)))="🚫CANCELADO",
"x",
""
),
"")</f>
        <v/>
      </c>
      <c r="T33" s="1" t="str">
        <f>IFERROR(
IF(
UPPER(TRIM(_xlfn.XLOOKUP(B33,PLANEJAMENTO!B:B,PLANEJAMENTO!T:T)))="✅ CONCLUÍDO",
"x",
""
),
"")</f>
        <v>x</v>
      </c>
    </row>
    <row r="34" spans="1:20" x14ac:dyDescent="0.3">
      <c r="A34" s="1" t="str">
        <f>IF(PLANEJAMENTO!A34="","",PLANEJAMENTO!A34)</f>
        <v>MTBRX001</v>
      </c>
      <c r="B34" s="1" t="str">
        <f>IF(PLANEJAMENTO!B34="","",PLANEJAMENTO!B34)</f>
        <v>contel-33</v>
      </c>
      <c r="H34" s="1" t="s">
        <v>604</v>
      </c>
      <c r="S34" s="1" t="str">
        <f>IFERROR(
IF(
UPPER(TRIM(_xlfn.XLOOKUP(A34,PLANEJAMENTO!A:A,PLANEJAMENTO!T:T)))="🚫CANCELADO",
"x",
""
),
"")</f>
        <v/>
      </c>
      <c r="T34" s="1" t="str">
        <f>IFERROR(
IF(
UPPER(TRIM(_xlfn.XLOOKUP(B34,PLANEJAMENTO!B:B,PLANEJAMENTO!T:T)))="✅ CONCLUÍDO",
"x",
""
),
"")</f>
        <v/>
      </c>
    </row>
    <row r="35" spans="1:20" x14ac:dyDescent="0.3">
      <c r="A35" s="1" t="str">
        <f>IF(PLANEJAMENTO!A35="","",PLANEJAMENTO!A35)</f>
        <v>BR67360-A</v>
      </c>
      <c r="B35" s="1" t="str">
        <f>IF(PLANEJAMENTO!B35="","",PLANEJAMENTO!B35)</f>
        <v>contel-34</v>
      </c>
      <c r="S35" s="1" t="str">
        <f>IFERROR(
IF(
UPPER(TRIM(_xlfn.XLOOKUP(A35,PLANEJAMENTO!A:A,PLANEJAMENTO!T:T)))="🚫CANCELADO",
"x",
""
),
"")</f>
        <v/>
      </c>
      <c r="T35" s="1" t="str">
        <f>IFERROR(
IF(
UPPER(TRIM(_xlfn.XLOOKUP(B35,PLANEJAMENTO!B:B,PLANEJAMENTO!T:T)))="✅ CONCLUÍDO",
"x",
""
),
"")</f>
        <v>x</v>
      </c>
    </row>
    <row r="36" spans="1:20" x14ac:dyDescent="0.3">
      <c r="A36" s="1" t="str">
        <f>IF(PLANEJAMENTO!A36="","",PLANEJAMENTO!A36)</f>
        <v>TABOCA</v>
      </c>
      <c r="B36" s="1" t="str">
        <f>IF(PLANEJAMENTO!B36="","",PLANEJAMENTO!B36)</f>
        <v>contel-35</v>
      </c>
      <c r="O36" s="1" t="s">
        <v>604</v>
      </c>
      <c r="S36" s="1" t="str">
        <f ca="1">IFERROR(
IF(
UPPER(TRIM(_xlfn.XLOOKUP(A36,PLANEJAMENTO!A:A,PLANEJAMENTO!T:T)))="🚫CANCELADO",
"x",
""
),
"")</f>
        <v/>
      </c>
      <c r="T36" s="1" t="str">
        <f ca="1">IFERROR(
IF(
UPPER(TRIM(_xlfn.XLOOKUP(B36,PLANEJAMENTO!B:B,PLANEJAMENTO!T:T)))="✅ CONCLUÍDO",
"x",
""
),
"")</f>
        <v/>
      </c>
    </row>
    <row r="37" spans="1:20" x14ac:dyDescent="0.3">
      <c r="A37" s="1" t="str">
        <f>IF(PLANEJAMENTO!A37="","",PLANEJAMENTO!A37)</f>
        <v>BR67041-A</v>
      </c>
      <c r="B37" s="1" t="str">
        <f>IF(PLANEJAMENTO!B37="","",PLANEJAMENTO!B37)</f>
        <v>contel-36</v>
      </c>
      <c r="S37" s="1" t="str">
        <f>IFERROR(
IF(
UPPER(TRIM(_xlfn.XLOOKUP(A37,PLANEJAMENTO!A:A,PLANEJAMENTO!T:T)))="🚫CANCELADO",
"x",
""
),
"")</f>
        <v/>
      </c>
      <c r="T37" s="1" t="str">
        <f>IFERROR(
IF(
UPPER(TRIM(_xlfn.XLOOKUP(B37,PLANEJAMENTO!B:B,PLANEJAMENTO!T:T)))="✅ CONCLUÍDO",
"x",
""
),
"")</f>
        <v>x</v>
      </c>
    </row>
    <row r="38" spans="1:20" x14ac:dyDescent="0.3">
      <c r="A38" s="1" t="str">
        <f>IF(PLANEJAMENTO!A38="","",PLANEJAMENTO!A38)</f>
        <v>PABXX004</v>
      </c>
      <c r="B38" s="1" t="str">
        <f>IF(PLANEJAMENTO!B38="","",PLANEJAMENTO!B38)</f>
        <v>contel-37</v>
      </c>
      <c r="S38" s="1" t="str">
        <f>IFERROR(
IF(
UPPER(TRIM(_xlfn.XLOOKUP(A38,PLANEJAMENTO!A:A,PLANEJAMENTO!T:T)))="🚫CANCELADO",
"x",
""
),
"")</f>
        <v/>
      </c>
      <c r="T38" s="1" t="str">
        <f>IFERROR(
IF(
UPPER(TRIM(_xlfn.XLOOKUP(B38,PLANEJAMENTO!B:B,PLANEJAMENTO!T:T)))="✅ CONCLUÍDO",
"x",
""
),
"")</f>
        <v>x</v>
      </c>
    </row>
    <row r="39" spans="1:20" x14ac:dyDescent="0.3">
      <c r="A39" s="1" t="str">
        <f>IF(PLANEJAMENTO!A39="","",PLANEJAMENTO!A39)</f>
        <v>ROGVR003</v>
      </c>
      <c r="B39" s="1" t="str">
        <f>IF(PLANEJAMENTO!B39="","",PLANEJAMENTO!B39)</f>
        <v>contel-38</v>
      </c>
      <c r="S39" s="1" t="str">
        <f>IFERROR(
IF(
UPPER(TRIM(_xlfn.XLOOKUP(A39,PLANEJAMENTO!A:A,PLANEJAMENTO!T:T)))="🚫CANCELADO",
"x",
""
),
"")</f>
        <v/>
      </c>
      <c r="T39" s="1" t="str">
        <f>IFERROR(
IF(
UPPER(TRIM(_xlfn.XLOOKUP(B39,PLANEJAMENTO!B:B,PLANEJAMENTO!T:T)))="✅ CONCLUÍDO",
"x",
""
),
"")</f>
        <v>x</v>
      </c>
    </row>
    <row r="40" spans="1:20" x14ac:dyDescent="0.3">
      <c r="A40" s="1" t="str">
        <f>IF(PLANEJAMENTO!A40="","",PLANEJAMENTO!A40)</f>
        <v>BSA039T1</v>
      </c>
      <c r="B40" s="1" t="str">
        <f>IF(PLANEJAMENTO!B40="","",PLANEJAMENTO!B40)</f>
        <v>contel-39</v>
      </c>
      <c r="S40" s="1" t="str">
        <f>IFERROR(
IF(
UPPER(TRIM(_xlfn.XLOOKUP(A40,PLANEJAMENTO!A:A,PLANEJAMENTO!T:T)))="🚫CANCELADO",
"x",
""
),
"")</f>
        <v/>
      </c>
      <c r="T40" s="1" t="str">
        <f>IFERROR(
IF(
UPPER(TRIM(_xlfn.XLOOKUP(B40,PLANEJAMENTO!B:B,PLANEJAMENTO!T:T)))="✅ CONCLUÍDO",
"x",
""
),
"")</f>
        <v>x</v>
      </c>
    </row>
    <row r="41" spans="1:20" x14ac:dyDescent="0.3">
      <c r="A41" s="1" t="str">
        <f>IF(PLANEJAMENTO!A41="","",PLANEJAMENTO!A41)</f>
        <v>BR88222-A</v>
      </c>
      <c r="B41" s="1" t="str">
        <f>IF(PLANEJAMENTO!B41="","",PLANEJAMENTO!B41)</f>
        <v>contel-40</v>
      </c>
      <c r="S41" s="1" t="str">
        <f>IFERROR(
IF(
UPPER(TRIM(_xlfn.XLOOKUP(A41,PLANEJAMENTO!A:A,PLANEJAMENTO!T:T)))="🚫CANCELADO",
"x",
""
),
"")</f>
        <v/>
      </c>
      <c r="T41" s="1" t="str">
        <f>IFERROR(
IF(
UPPER(TRIM(_xlfn.XLOOKUP(B41,PLANEJAMENTO!B:B,PLANEJAMENTO!T:T)))="✅ CONCLUÍDO",
"x",
""
),
"")</f>
        <v>x</v>
      </c>
    </row>
    <row r="42" spans="1:20" x14ac:dyDescent="0.3">
      <c r="A42" s="1" t="str">
        <f>IF(PLANEJAMENTO!A42="","",PLANEJAMENTO!A42)</f>
        <v>TNSIMMU0001</v>
      </c>
      <c r="B42" s="1" t="str">
        <f>IF(PLANEJAMENTO!B42="","",PLANEJAMENTO!B42)</f>
        <v>contel-41</v>
      </c>
      <c r="S42" s="1" t="str">
        <f>IFERROR(
IF(
UPPER(TRIM(_xlfn.XLOOKUP(A42,PLANEJAMENTO!A:A,PLANEJAMENTO!T:T)))="🚫CANCELADO",
"x",
""
),
"")</f>
        <v/>
      </c>
      <c r="T42" s="1" t="str">
        <f>IFERROR(
IF(
UPPER(TRIM(_xlfn.XLOOKUP(B42,PLANEJAMENTO!B:B,PLANEJAMENTO!T:T)))="✅ CONCLUÍDO",
"x",
""
),
"")</f>
        <v>x</v>
      </c>
    </row>
    <row r="43" spans="1:20" x14ac:dyDescent="0.3">
      <c r="A43" s="1" t="str">
        <f>IF(PLANEJAMENTO!A43="","",PLANEJAMENTO!A43)</f>
        <v>BR75987-A</v>
      </c>
      <c r="B43" s="1" t="str">
        <f>IF(PLANEJAMENTO!B43="","",PLANEJAMENTO!B43)</f>
        <v>contel-42</v>
      </c>
      <c r="S43" s="1" t="str">
        <f>IFERROR(
IF(
UPPER(TRIM(_xlfn.XLOOKUP(A43,PLANEJAMENTO!A:A,PLANEJAMENTO!T:T)))="🚫CANCELADO",
"x",
""
),
"")</f>
        <v/>
      </c>
      <c r="T43" s="1" t="str">
        <f>IFERROR(
IF(
UPPER(TRIM(_xlfn.XLOOKUP(B43,PLANEJAMENTO!B:B,PLANEJAMENTO!T:T)))="✅ CONCLUÍDO",
"x",
""
),
"")</f>
        <v>x</v>
      </c>
    </row>
    <row r="44" spans="1:20" x14ac:dyDescent="0.3">
      <c r="A44" s="1" t="str">
        <f>IF(PLANEJAMENTO!A44="","",PLANEJAMENTO!A44)</f>
        <v>BR67096-R</v>
      </c>
      <c r="B44" s="1" t="str">
        <f>IF(PLANEJAMENTO!B44="","",PLANEJAMENTO!B44)</f>
        <v>contel-43</v>
      </c>
      <c r="S44" s="1" t="str">
        <f>IFERROR(
IF(
UPPER(TRIM(_xlfn.XLOOKUP(A44,PLANEJAMENTO!A:A,PLANEJAMENTO!T:T)))="🚫CANCELADO",
"x",
""
),
"")</f>
        <v/>
      </c>
      <c r="T44" s="1" t="str">
        <f>IFERROR(
IF(
UPPER(TRIM(_xlfn.XLOOKUP(B44,PLANEJAMENTO!B:B,PLANEJAMENTO!T:T)))="✅ CONCLUÍDO",
"x",
""
),
"")</f>
        <v>x</v>
      </c>
    </row>
    <row r="45" spans="1:20" x14ac:dyDescent="0.3">
      <c r="A45" s="1" t="str">
        <f>IF(PLANEJAMENTO!A45="","",PLANEJAMENTO!A45)</f>
        <v>BR66977-R</v>
      </c>
      <c r="B45" s="1" t="str">
        <f>IF(PLANEJAMENTO!B45="","",PLANEJAMENTO!B45)</f>
        <v>contel-44</v>
      </c>
      <c r="S45" s="1" t="str">
        <f>IFERROR(
IF(
UPPER(TRIM(_xlfn.XLOOKUP(A45,PLANEJAMENTO!A:A,PLANEJAMENTO!T:T)))="🚫CANCELADO",
"x",
""
),
"")</f>
        <v/>
      </c>
      <c r="T45" s="1" t="str">
        <f>IFERROR(
IF(
UPPER(TRIM(_xlfn.XLOOKUP(B45,PLANEJAMENTO!B:B,PLANEJAMENTO!T:T)))="✅ CONCLUÍDO",
"x",
""
),
"")</f>
        <v>x</v>
      </c>
    </row>
    <row r="46" spans="1:20" x14ac:dyDescent="0.3">
      <c r="A46" s="1" t="str">
        <f>IF(PLANEJAMENTO!A46="","",PLANEJAMENTO!A46)</f>
        <v>DFBSBBV010-K2</v>
      </c>
      <c r="B46" s="1" t="str">
        <f>IF(PLANEJAMENTO!B46="","",PLANEJAMENTO!B46)</f>
        <v>contel-45</v>
      </c>
      <c r="S46" s="1" t="str">
        <f>IFERROR(
IF(
UPPER(TRIM(_xlfn.XLOOKUP(A46,PLANEJAMENTO!A:A,PLANEJAMENTO!T:T)))="🚫CANCELADO",
"x",
""
),
"")</f>
        <v/>
      </c>
      <c r="T46" s="1" t="str">
        <f>IFERROR(
IF(
UPPER(TRIM(_xlfn.XLOOKUP(B46,PLANEJAMENTO!B:B,PLANEJAMENTO!T:T)))="✅ CONCLUÍDO",
"x",
""
),
"")</f>
        <v>x</v>
      </c>
    </row>
    <row r="47" spans="1:20" x14ac:dyDescent="0.3">
      <c r="A47" s="1" t="str">
        <f>IF(PLANEJAMENTO!A47="","",PLANEJAMENTO!A47)</f>
        <v>BR73340-R</v>
      </c>
      <c r="B47" s="1" t="str">
        <f>IF(PLANEJAMENTO!B47="","",PLANEJAMENTO!B47)</f>
        <v>contel-46</v>
      </c>
      <c r="S47" s="1" t="str">
        <f>IFERROR(
IF(
UPPER(TRIM(_xlfn.XLOOKUP(A47,PLANEJAMENTO!A:A,PLANEJAMENTO!T:T)))="🚫CANCELADO",
"x",
""
),
"")</f>
        <v/>
      </c>
      <c r="T47" s="1" t="str">
        <f>IFERROR(
IF(
UPPER(TRIM(_xlfn.XLOOKUP(B47,PLANEJAMENTO!B:B,PLANEJAMENTO!T:T)))="✅ CONCLUÍDO",
"x",
""
),
"")</f>
        <v>x</v>
      </c>
    </row>
    <row r="48" spans="1:20" x14ac:dyDescent="0.3">
      <c r="A48" s="1" t="str">
        <f>IF(PLANEJAMENTO!A48="","",PLANEJAMENTO!A48)</f>
        <v>BR72119-A</v>
      </c>
      <c r="B48" s="1" t="str">
        <f>IF(PLANEJAMENTO!B48="","",PLANEJAMENTO!B48)</f>
        <v>contel-47</v>
      </c>
      <c r="S48" s="1" t="str">
        <f>IFERROR(
IF(
UPPER(TRIM(_xlfn.XLOOKUP(A48,PLANEJAMENTO!A:A,PLANEJAMENTO!T:T)))="🚫CANCELADO",
"x",
""
),
"")</f>
        <v/>
      </c>
      <c r="T48" s="1" t="str">
        <f>IFERROR(
IF(
UPPER(TRIM(_xlfn.XLOOKUP(B48,PLANEJAMENTO!B:B,PLANEJAMENTO!T:T)))="✅ CONCLUÍDO",
"x",
""
),
"")</f>
        <v>x</v>
      </c>
    </row>
    <row r="49" spans="1:20" x14ac:dyDescent="0.3">
      <c r="A49" s="1" t="str">
        <f>IF(PLANEJAMENTO!A49="","",PLANEJAMENTO!A49)</f>
        <v>BR63311-A</v>
      </c>
      <c r="B49" s="1" t="str">
        <f>IF(PLANEJAMENTO!B49="","",PLANEJAMENTO!B49)</f>
        <v>contel-48</v>
      </c>
      <c r="S49" s="1" t="str">
        <f>IFERROR(
IF(
UPPER(TRIM(_xlfn.XLOOKUP(A49,PLANEJAMENTO!A:A,PLANEJAMENTO!T:T)))="🚫CANCELADO",
"x",
""
),
"")</f>
        <v/>
      </c>
      <c r="T49" s="1" t="str">
        <f>IFERROR(
IF(
UPPER(TRIM(_xlfn.XLOOKUP(B49,PLANEJAMENTO!B:B,PLANEJAMENTO!T:T)))="✅ CONCLUÍDO",
"x",
""
),
"")</f>
        <v>x</v>
      </c>
    </row>
    <row r="50" spans="1:20" x14ac:dyDescent="0.3">
      <c r="A50" s="1" t="str">
        <f>IF(PLANEJAMENTO!A50="","",PLANEJAMENTO!A50)</f>
        <v>BR87661-R</v>
      </c>
      <c r="B50" s="1" t="str">
        <f>IF(PLANEJAMENTO!B50="","",PLANEJAMENTO!B50)</f>
        <v>contel-49</v>
      </c>
      <c r="S50" s="1" t="str">
        <f>IFERROR(
IF(
UPPER(TRIM(_xlfn.XLOOKUP(A50,PLANEJAMENTO!A:A,PLANEJAMENTO!T:T)))="🚫CANCELADO",
"x",
""
),
"")</f>
        <v/>
      </c>
      <c r="T50" s="1" t="str">
        <f>IFERROR(
IF(
UPPER(TRIM(_xlfn.XLOOKUP(B50,PLANEJAMENTO!B:B,PLANEJAMENTO!T:T)))="✅ CONCLUÍDO",
"x",
""
),
"")</f>
        <v>x</v>
      </c>
    </row>
    <row r="51" spans="1:20" x14ac:dyDescent="0.3">
      <c r="A51" s="1" t="str">
        <f>IF(PLANEJAMENTO!A51="","",PLANEJAMENTO!A51)</f>
        <v>BR56365-A</v>
      </c>
      <c r="B51" s="1" t="str">
        <f>IF(PLANEJAMENTO!B51="","",PLANEJAMENTO!B51)</f>
        <v>contel-50</v>
      </c>
      <c r="S51" s="1" t="str">
        <f>IFERROR(
IF(
UPPER(TRIM(_xlfn.XLOOKUP(A51,PLANEJAMENTO!A:A,PLANEJAMENTO!T:T)))="🚫CANCELADO",
"x",
""
),
"")</f>
        <v/>
      </c>
      <c r="T51" s="1" t="str">
        <f>IFERROR(
IF(
UPPER(TRIM(_xlfn.XLOOKUP(B51,PLANEJAMENTO!B:B,PLANEJAMENTO!T:T)))="✅ CONCLUÍDO",
"x",
""
),
"")</f>
        <v>x</v>
      </c>
    </row>
    <row r="52" spans="1:20" x14ac:dyDescent="0.3">
      <c r="A52" s="1" t="str">
        <f>IF(PLANEJAMENTO!A52="","",PLANEJAMENTO!A52)</f>
        <v>BR88708-A</v>
      </c>
      <c r="B52" s="1" t="str">
        <f>IF(PLANEJAMENTO!B52="","",PLANEJAMENTO!B52)</f>
        <v>contel-51</v>
      </c>
      <c r="Q52" s="1" t="s">
        <v>604</v>
      </c>
      <c r="S52" s="1" t="str">
        <f ca="1">IFERROR(
IF(
UPPER(TRIM(_xlfn.XLOOKUP(A52,PLANEJAMENTO!A:A,PLANEJAMENTO!T:T)))="🚫CANCELADO",
"x",
""
),
"")</f>
        <v/>
      </c>
      <c r="T52" s="1" t="str">
        <f ca="1">IFERROR(
IF(
UPPER(TRIM(_xlfn.XLOOKUP(B52,PLANEJAMENTO!B:B,PLANEJAMENTO!T:T)))="✅ CONCLUÍDO",
"x",
""
),
"")</f>
        <v/>
      </c>
    </row>
    <row r="53" spans="1:20" x14ac:dyDescent="0.3">
      <c r="A53" s="1" t="str">
        <f>IF(PLANEJAMENTO!A53="","",PLANEJAMENTO!A53)</f>
        <v>BSA045B1</v>
      </c>
      <c r="B53" s="1" t="str">
        <f>IF(PLANEJAMENTO!B53="","",PLANEJAMENTO!B53)</f>
        <v>contel-52</v>
      </c>
      <c r="S53" s="1" t="str">
        <f>IFERROR(
IF(
UPPER(TRIM(_xlfn.XLOOKUP(A53,PLANEJAMENTO!A:A,PLANEJAMENTO!T:T)))="🚫CANCELADO",
"x",
""
),
"")</f>
        <v/>
      </c>
      <c r="T53" s="1" t="str">
        <f>IFERROR(
IF(
UPPER(TRIM(_xlfn.XLOOKUP(B53,PLANEJAMENTO!B:B,PLANEJAMENTO!T:T)))="✅ CONCLUÍDO",
"x",
""
),
"")</f>
        <v>x</v>
      </c>
    </row>
    <row r="54" spans="1:20" x14ac:dyDescent="0.3">
      <c r="A54" s="1" t="str">
        <f>IF(PLANEJAMENTO!A54="","",PLANEJAMENTO!A54)</f>
        <v>BR63121-A</v>
      </c>
      <c r="B54" s="1" t="str">
        <f>IF(PLANEJAMENTO!B54="","",PLANEJAMENTO!B54)</f>
        <v>contel-53</v>
      </c>
      <c r="O54" s="1" t="s">
        <v>604</v>
      </c>
      <c r="S54" s="1" t="str">
        <f ca="1">IFERROR(
IF(
UPPER(TRIM(_xlfn.XLOOKUP(A54,PLANEJAMENTO!A:A,PLANEJAMENTO!T:T)))="🚫CANCELADO",
"x",
""
),
"")</f>
        <v/>
      </c>
      <c r="T54" s="1" t="str">
        <f ca="1">IFERROR(
IF(
UPPER(TRIM(_xlfn.XLOOKUP(B54,PLANEJAMENTO!B:B,PLANEJAMENTO!T:T)))="✅ CONCLUÍDO",
"x",
""
),
"")</f>
        <v/>
      </c>
    </row>
    <row r="55" spans="1:20" x14ac:dyDescent="0.3">
      <c r="A55" s="1">
        <f>IF(PLANEJAMENTO!A55="","",PLANEJAMENTO!A55)</f>
        <v>38010003</v>
      </c>
      <c r="B55" s="1" t="str">
        <f>IF(PLANEJAMENTO!B55="","",PLANEJAMENTO!B55)</f>
        <v>contel-54</v>
      </c>
      <c r="O55" s="1" t="s">
        <v>604</v>
      </c>
      <c r="S55" s="1" t="str">
        <f ca="1">IFERROR(
IF(
UPPER(TRIM(_xlfn.XLOOKUP(A55,PLANEJAMENTO!A:A,PLANEJAMENTO!T:T)))="🚫CANCELADO",
"x",
""
),
"")</f>
        <v/>
      </c>
      <c r="T55" s="1" t="str">
        <f ca="1">IFERROR(
IF(
UPPER(TRIM(_xlfn.XLOOKUP(B55,PLANEJAMENTO!B:B,PLANEJAMENTO!T:T)))="✅ CONCLUÍDO",
"x",
""
),
"")</f>
        <v/>
      </c>
    </row>
    <row r="56" spans="1:20" x14ac:dyDescent="0.3">
      <c r="A56" s="1" t="str">
        <f>IF(PLANEJAMENTO!A56="","",PLANEJAMENTO!A56)</f>
        <v>TORRE RECORD</v>
      </c>
      <c r="B56" s="1" t="str">
        <f>IF(PLANEJAMENTO!B56="","",PLANEJAMENTO!B56)</f>
        <v>contel-55</v>
      </c>
      <c r="S56" s="1" t="str">
        <f>IFERROR(
IF(
UPPER(TRIM(_xlfn.XLOOKUP(A56,PLANEJAMENTO!A:A,PLANEJAMENTO!T:T)))="🚫CANCELADO",
"x",
""
),
"")</f>
        <v/>
      </c>
      <c r="T56" s="1" t="str">
        <f>IFERROR(
IF(
UPPER(TRIM(_xlfn.XLOOKUP(B56,PLANEJAMENTO!B:B,PLANEJAMENTO!T:T)))="✅ CONCLUÍDO",
"x",
""
),
"")</f>
        <v>x</v>
      </c>
    </row>
    <row r="57" spans="1:20" x14ac:dyDescent="0.3">
      <c r="A57" s="1" t="str">
        <f>IF(PLANEJAMENTO!A57="","",PLANEJAMENTO!A57)</f>
        <v>MABCY001</v>
      </c>
      <c r="B57" s="1" t="str">
        <f>IF(PLANEJAMENTO!B57="","",PLANEJAMENTO!B57)</f>
        <v>contel-56</v>
      </c>
      <c r="S57" s="1" t="str">
        <f>IFERROR(
IF(
UPPER(TRIM(_xlfn.XLOOKUP(A57,PLANEJAMENTO!A:A,PLANEJAMENTO!T:T)))="🚫CANCELADO",
"x",
""
),
"")</f>
        <v/>
      </c>
      <c r="T57" s="1" t="str">
        <f>IFERROR(
IF(
UPPER(TRIM(_xlfn.XLOOKUP(B57,PLANEJAMENTO!B:B,PLANEJAMENTO!T:T)))="✅ CONCLUÍDO",
"x",
""
),
"")</f>
        <v>x</v>
      </c>
    </row>
    <row r="58" spans="1:20" x14ac:dyDescent="0.3">
      <c r="A58" s="1" t="str">
        <f>IF(PLANEJAMENTO!A58="","",PLANEJAMENTO!A58)</f>
        <v>PARMX006</v>
      </c>
      <c r="B58" s="1" t="str">
        <f>IF(PLANEJAMENTO!B58="","",PLANEJAMENTO!B58)</f>
        <v>contel-57</v>
      </c>
      <c r="G58" s="1" t="s">
        <v>604</v>
      </c>
      <c r="S58" s="1" t="str">
        <f ca="1">IFERROR(
IF(
UPPER(TRIM(_xlfn.XLOOKUP(A58,PLANEJAMENTO!A:A,PLANEJAMENTO!T:T)))="🚫CANCELADO",
"x",
""
),
"")</f>
        <v/>
      </c>
      <c r="T58" s="1" t="str">
        <f ca="1">IFERROR(
IF(
UPPER(TRIM(_xlfn.XLOOKUP(B58,PLANEJAMENTO!B:B,PLANEJAMENTO!T:T)))="✅ CONCLUÍDO",
"x",
""
),
"")</f>
        <v/>
      </c>
    </row>
    <row r="59" spans="1:20" x14ac:dyDescent="0.3">
      <c r="A59" s="1" t="str">
        <f>IF(PLANEJAMENTO!A59="","",PLANEJAMENTO!A59)</f>
        <v>MAVNX001</v>
      </c>
      <c r="B59" s="1" t="str">
        <f>IF(PLANEJAMENTO!B59="","",PLANEJAMENTO!B59)</f>
        <v>contel-58</v>
      </c>
      <c r="S59" s="1" t="str">
        <f>IFERROR(
IF(
UPPER(TRIM(_xlfn.XLOOKUP(A59,PLANEJAMENTO!A:A,PLANEJAMENTO!T:T)))="🚫CANCELADO",
"x",
""
),
"")</f>
        <v/>
      </c>
      <c r="T59" s="1" t="str">
        <f>IFERROR(
IF(
UPPER(TRIM(_xlfn.XLOOKUP(B59,PLANEJAMENTO!B:B,PLANEJAMENTO!T:T)))="✅ CONCLUÍDO",
"x",
""
),
"")</f>
        <v>x</v>
      </c>
    </row>
    <row r="60" spans="1:20" x14ac:dyDescent="0.3">
      <c r="A60" s="1" t="str">
        <f>IF(PLANEJAMENTO!A60="","",PLANEJAMENTO!A60)</f>
        <v>TNSMOSA002</v>
      </c>
      <c r="B60" s="1" t="str">
        <f>IF(PLANEJAMENTO!B60="","",PLANEJAMENTO!B60)</f>
        <v>contel-59</v>
      </c>
      <c r="S60" s="1" t="str">
        <f>IFERROR(
IF(
UPPER(TRIM(_xlfn.XLOOKUP(A60,PLANEJAMENTO!A:A,PLANEJAMENTO!T:T)))="🚫CANCELADO",
"x",
""
),
"")</f>
        <v/>
      </c>
      <c r="T60" s="1" t="str">
        <f>IFERROR(
IF(
UPPER(TRIM(_xlfn.XLOOKUP(B60,PLANEJAMENTO!B:B,PLANEJAMENTO!T:T)))="✅ CONCLUÍDO",
"x",
""
),
"")</f>
        <v>x</v>
      </c>
    </row>
    <row r="61" spans="1:20" x14ac:dyDescent="0.3">
      <c r="A61" s="1">
        <f>IF(PLANEJAMENTO!A61="","",PLANEJAMENTO!A61)</f>
        <v>65010027</v>
      </c>
      <c r="B61" s="1" t="str">
        <f>IF(PLANEJAMENTO!B61="","",PLANEJAMENTO!B61)</f>
        <v>contel-60</v>
      </c>
      <c r="S61" s="1" t="str">
        <f>IFERROR(
IF(
UPPER(TRIM(_xlfn.XLOOKUP(A61,PLANEJAMENTO!A:A,PLANEJAMENTO!T:T)))="🚫CANCELADO",
"x",
""
),
"")</f>
        <v/>
      </c>
      <c r="T61" s="1" t="str">
        <f>IFERROR(
IF(
UPPER(TRIM(_xlfn.XLOOKUP(B61,PLANEJAMENTO!B:B,PLANEJAMENTO!T:T)))="✅ CONCLUÍDO",
"x",
""
),
"")</f>
        <v>x</v>
      </c>
    </row>
    <row r="62" spans="1:20" x14ac:dyDescent="0.3">
      <c r="A62" s="1" t="str">
        <f>IF(PLANEJAMENTO!A62="","",PLANEJAMENTO!A62)</f>
        <v>BR88606-A</v>
      </c>
      <c r="B62" s="1" t="str">
        <f>IF(PLANEJAMENTO!B62="","",PLANEJAMENTO!B62)</f>
        <v>contel-61</v>
      </c>
      <c r="O62" s="1" t="s">
        <v>604</v>
      </c>
      <c r="S62" s="1" t="str">
        <f ca="1">IFERROR(
IF(
UPPER(TRIM(_xlfn.XLOOKUP(A62,PLANEJAMENTO!A:A,PLANEJAMENTO!T:T)))="🚫CANCELADO",
"x",
""
),
"")</f>
        <v/>
      </c>
      <c r="T62" s="1" t="str">
        <f ca="1">IFERROR(
IF(
UPPER(TRIM(_xlfn.XLOOKUP(B62,PLANEJAMENTO!B:B,PLANEJAMENTO!T:T)))="✅ CONCLUÍDO",
"x",
""
),
"")</f>
        <v/>
      </c>
    </row>
    <row r="63" spans="1:20" x14ac:dyDescent="0.3">
      <c r="A63" s="1" t="str">
        <f>IF(PLANEJAMENTO!A63="","",PLANEJAMENTO!A63)</f>
        <v>BR87717-A</v>
      </c>
      <c r="B63" s="1" t="str">
        <f>IF(PLANEJAMENTO!B63="","",PLANEJAMENTO!B63)</f>
        <v>contel-62</v>
      </c>
      <c r="S63" s="1" t="str">
        <f>IFERROR(
IF(
UPPER(TRIM(_xlfn.XLOOKUP(A63,PLANEJAMENTO!A:A,PLANEJAMENTO!T:T)))="🚫CANCELADO",
"x",
""
),
"")</f>
        <v/>
      </c>
      <c r="T63" s="1" t="str">
        <f>IFERROR(
IF(
UPPER(TRIM(_xlfn.XLOOKUP(B63,PLANEJAMENTO!B:B,PLANEJAMENTO!T:T)))="✅ CONCLUÍDO",
"x",
""
),
"")</f>
        <v>x</v>
      </c>
    </row>
    <row r="64" spans="1:20" x14ac:dyDescent="0.3">
      <c r="A64" s="1" t="str">
        <f>IF(PLANEJAMENTO!A64="","",PLANEJAMENTO!A64)</f>
        <v>BR54982-A</v>
      </c>
      <c r="B64" s="1" t="str">
        <f>IF(PLANEJAMENTO!B64="","",PLANEJAMENTO!B64)</f>
        <v>contel-63</v>
      </c>
      <c r="S64" s="1" t="str">
        <f>IFERROR(
IF(
UPPER(TRIM(_xlfn.XLOOKUP(A64,PLANEJAMENTO!A:A,PLANEJAMENTO!T:T)))="🚫CANCELADO",
"x",
""
),
"")</f>
        <v/>
      </c>
      <c r="T64" s="1" t="str">
        <f>IFERROR(
IF(
UPPER(TRIM(_xlfn.XLOOKUP(B64,PLANEJAMENTO!B:B,PLANEJAMENTO!T:T)))="✅ CONCLUÍDO",
"x",
""
),
"")</f>
        <v>x</v>
      </c>
    </row>
    <row r="65" spans="1:20" x14ac:dyDescent="0.3">
      <c r="A65" s="1" t="str">
        <f>IF(PLANEJAMENTO!A65="","",PLANEJAMENTO!A65)</f>
        <v>BR80534-A</v>
      </c>
      <c r="B65" s="1" t="str">
        <f>IF(PLANEJAMENTO!B65="","",PLANEJAMENTO!B65)</f>
        <v>contel-64</v>
      </c>
      <c r="S65" s="1" t="str">
        <f>IFERROR(
IF(
UPPER(TRIM(_xlfn.XLOOKUP(A65,PLANEJAMENTO!A:A,PLANEJAMENTO!T:T)))="🚫CANCELADO",
"x",
""
),
"")</f>
        <v>x</v>
      </c>
      <c r="T65" s="1" t="str">
        <f>IFERROR(
IF(
UPPER(TRIM(_xlfn.XLOOKUP(B65,PLANEJAMENTO!B:B,PLANEJAMENTO!T:T)))="✅ CONCLUÍDO",
"x",
""
),
"")</f>
        <v/>
      </c>
    </row>
    <row r="66" spans="1:20" x14ac:dyDescent="0.3">
      <c r="A66" s="1" t="str">
        <f>IF(PLANEJAMENTO!A66="","",PLANEJAMENTO!A66)</f>
        <v>BR87627-A</v>
      </c>
      <c r="B66" s="1" t="str">
        <f>IF(PLANEJAMENTO!B66="","",PLANEJAMENTO!B66)</f>
        <v>contel-65</v>
      </c>
      <c r="O66" s="1" t="s">
        <v>604</v>
      </c>
      <c r="S66" s="1" t="str">
        <f ca="1">IFERROR(
IF(
UPPER(TRIM(_xlfn.XLOOKUP(A66,PLANEJAMENTO!A:A,PLANEJAMENTO!T:T)))="🚫CANCELADO",
"x",
""
),
"")</f>
        <v/>
      </c>
      <c r="T66" s="1" t="str">
        <f ca="1">IFERROR(
IF(
UPPER(TRIM(_xlfn.XLOOKUP(B66,PLANEJAMENTO!B:B,PLANEJAMENTO!T:T)))="✅ CONCLUÍDO",
"x",
""
),
"")</f>
        <v/>
      </c>
    </row>
    <row r="67" spans="1:20" x14ac:dyDescent="0.3">
      <c r="A67" s="1" t="str">
        <f>IF(PLANEJAMENTO!A67="","",PLANEJAMENTO!A67)</f>
        <v>SM7 TANKS BR</v>
      </c>
      <c r="B67" s="1" t="str">
        <f>IF(PLANEJAMENTO!B67="","",PLANEJAMENTO!B67)</f>
        <v>contel-66</v>
      </c>
      <c r="N67" s="1" t="s">
        <v>604</v>
      </c>
      <c r="O67" s="1" t="s">
        <v>604</v>
      </c>
      <c r="S67" s="1" t="str">
        <f ca="1">IFERROR(
IF(
UPPER(TRIM(_xlfn.XLOOKUP(A67,PLANEJAMENTO!A:A,PLANEJAMENTO!T:T)))="🚫CANCELADO",
"x",
""
),
"")</f>
        <v/>
      </c>
      <c r="T67" s="1" t="str">
        <f ca="1">IFERROR(
IF(
UPPER(TRIM(_xlfn.XLOOKUP(B67,PLANEJAMENTO!B:B,PLANEJAMENTO!T:T)))="✅ CONCLUÍDO",
"x",
""
),
"")</f>
        <v/>
      </c>
    </row>
    <row r="68" spans="1:20" x14ac:dyDescent="0.3">
      <c r="A68" s="1" t="str">
        <f>IF(PLANEJAMENTO!A68="","",PLANEJAMENTO!A68)</f>
        <v>RSP-SLE-007</v>
      </c>
      <c r="B68" s="1" t="str">
        <f>IF(PLANEJAMENTO!B68="","",PLANEJAMENTO!B68)</f>
        <v>contel-67</v>
      </c>
      <c r="S68" s="1" t="str">
        <f>IFERROR(
IF(
UPPER(TRIM(_xlfn.XLOOKUP(A68,PLANEJAMENTO!A:A,PLANEJAMENTO!T:T)))="🚫CANCELADO",
"x",
""
),
"")</f>
        <v/>
      </c>
      <c r="T68" s="1" t="str">
        <f>IFERROR(
IF(
UPPER(TRIM(_xlfn.XLOOKUP(B68,PLANEJAMENTO!B:B,PLANEJAMENTO!T:T)))="✅ CONCLUÍDO",
"x",
""
),
"")</f>
        <v>x</v>
      </c>
    </row>
    <row r="69" spans="1:20" x14ac:dyDescent="0.3">
      <c r="A69" s="1" t="str">
        <f>IF(PLANEJAMENTO!A69="","",PLANEJAMENTO!A69)</f>
        <v>SP4-BRU-001</v>
      </c>
      <c r="B69" s="1" t="str">
        <f>IF(PLANEJAMENTO!B69="","",PLANEJAMENTO!B69)</f>
        <v>contel-68</v>
      </c>
      <c r="S69" s="1" t="str">
        <f>IFERROR(
IF(
UPPER(TRIM(_xlfn.XLOOKUP(A69,PLANEJAMENTO!A:A,PLANEJAMENTO!T:T)))="🚫CANCELADO",
"x",
""
),
"")</f>
        <v/>
      </c>
      <c r="T69" s="1" t="str">
        <f>IFERROR(
IF(
UPPER(TRIM(_xlfn.XLOOKUP(B69,PLANEJAMENTO!B:B,PLANEJAMENTO!T:T)))="✅ CONCLUÍDO",
"x",
""
),
"")</f>
        <v>x</v>
      </c>
    </row>
    <row r="70" spans="1:20" x14ac:dyDescent="0.3">
      <c r="A70" s="1" t="str">
        <f>IF(PLANEJAMENTO!A70="","",PLANEJAMENTO!A70)</f>
        <v>SPP-NOA-011</v>
      </c>
      <c r="B70" s="1" t="str">
        <f>IF(PLANEJAMENTO!B70="","",PLANEJAMENTO!B70)</f>
        <v>contel-69</v>
      </c>
      <c r="S70" s="1" t="str">
        <f>IFERROR(
IF(
UPPER(TRIM(_xlfn.XLOOKUP(A70,PLANEJAMENTO!A:A,PLANEJAMENTO!T:T)))="🚫CANCELADO",
"x",
""
),
"")</f>
        <v/>
      </c>
      <c r="T70" s="1" t="str">
        <f>IFERROR(
IF(
UPPER(TRIM(_xlfn.XLOOKUP(B70,PLANEJAMENTO!B:B,PLANEJAMENTO!T:T)))="✅ CONCLUÍDO",
"x",
""
),
"")</f>
        <v>x</v>
      </c>
    </row>
    <row r="71" spans="1:20" x14ac:dyDescent="0.3">
      <c r="A71" s="1" t="str">
        <f>IF(PLANEJAMENTO!A71="","",PLANEJAMENTO!A71)</f>
        <v>MAJNP001</v>
      </c>
      <c r="B71" s="1" t="str">
        <f>IF(PLANEJAMENTO!B71="","",PLANEJAMENTO!B71)</f>
        <v>contel-70</v>
      </c>
      <c r="S71" s="1" t="str">
        <f>IFERROR(
IF(
UPPER(TRIM(_xlfn.XLOOKUP(A71,PLANEJAMENTO!A:A,PLANEJAMENTO!T:T)))="🚫CANCELADO",
"x",
""
),
"")</f>
        <v/>
      </c>
      <c r="T71" s="1" t="str">
        <f>IFERROR(
IF(
UPPER(TRIM(_xlfn.XLOOKUP(B71,PLANEJAMENTO!B:B,PLANEJAMENTO!T:T)))="✅ CONCLUÍDO",
"x",
""
),
"")</f>
        <v>x</v>
      </c>
    </row>
    <row r="72" spans="1:20" x14ac:dyDescent="0.3">
      <c r="A72" s="1" t="str">
        <f>IF(PLANEJAMENTO!A72="","",PLANEJAMENTO!A72)</f>
        <v>MABMX002</v>
      </c>
      <c r="B72" s="1" t="str">
        <f>IF(PLANEJAMENTO!B72="","",PLANEJAMENTO!B72)</f>
        <v>contel-71</v>
      </c>
      <c r="S72" s="1" t="str">
        <f>IFERROR(
IF(
UPPER(TRIM(_xlfn.XLOOKUP(A72,PLANEJAMENTO!A:A,PLANEJAMENTO!T:T)))="🚫CANCELADO",
"x",
""
),
"")</f>
        <v/>
      </c>
      <c r="T72" s="1" t="str">
        <f>IFERROR(
IF(
UPPER(TRIM(_xlfn.XLOOKUP(B72,PLANEJAMENTO!B:B,PLANEJAMENTO!T:T)))="✅ CONCLUÍDO",
"x",
""
),
"")</f>
        <v>x</v>
      </c>
    </row>
    <row r="73" spans="1:20" x14ac:dyDescent="0.3">
      <c r="A73" s="1" t="str">
        <f>IF(PLANEJAMENTO!A73="","",PLANEJAMENTO!A73)</f>
        <v>BR72493-A</v>
      </c>
      <c r="B73" s="1" t="str">
        <f>IF(PLANEJAMENTO!B73="","",PLANEJAMENTO!B73)</f>
        <v>contel-72</v>
      </c>
      <c r="S73" s="1" t="str">
        <f>IFERROR(
IF(
UPPER(TRIM(_xlfn.XLOOKUP(A73,PLANEJAMENTO!A:A,PLANEJAMENTO!T:T)))="🚫CANCELADO",
"x",
""
),
"")</f>
        <v/>
      </c>
      <c r="T73" s="1" t="str">
        <f>IFERROR(
IF(
UPPER(TRIM(_xlfn.XLOOKUP(B73,PLANEJAMENTO!B:B,PLANEJAMENTO!T:T)))="✅ CONCLUÍDO",
"x",
""
),
"")</f>
        <v>x</v>
      </c>
    </row>
    <row r="74" spans="1:20" x14ac:dyDescent="0.3">
      <c r="A74" s="1" t="str">
        <f>IF(PLANEJAMENTO!A74="","",PLANEJAMENTO!A74)</f>
        <v>MACDX002</v>
      </c>
      <c r="B74" s="1" t="str">
        <f>IF(PLANEJAMENTO!B74="","",PLANEJAMENTO!B74)</f>
        <v>contel-73</v>
      </c>
      <c r="S74" s="1" t="str">
        <f>IFERROR(
IF(
UPPER(TRIM(_xlfn.XLOOKUP(A74,PLANEJAMENTO!A:A,PLANEJAMENTO!T:T)))="🚫CANCELADO",
"x",
""
),
"")</f>
        <v/>
      </c>
      <c r="T74" s="1" t="str">
        <f>IFERROR(
IF(
UPPER(TRIM(_xlfn.XLOOKUP(B74,PLANEJAMENTO!B:B,PLANEJAMENTO!T:T)))="✅ CONCLUÍDO",
"x",
""
),
"")</f>
        <v>x</v>
      </c>
    </row>
    <row r="75" spans="1:20" x14ac:dyDescent="0.3">
      <c r="A75" s="1" t="str">
        <f>IF(PLANEJAMENTO!A75="","",PLANEJAMENTO!A75)</f>
        <v>GONVG001</v>
      </c>
      <c r="B75" s="1" t="str">
        <f>IF(PLANEJAMENTO!B75="","",PLANEJAMENTO!B75)</f>
        <v>contel-74</v>
      </c>
      <c r="S75" s="1" t="str">
        <f>IFERROR(
IF(
UPPER(TRIM(_xlfn.XLOOKUP(A75,PLANEJAMENTO!A:A,PLANEJAMENTO!T:T)))="🚫CANCELADO",
"x",
""
),
"")</f>
        <v/>
      </c>
      <c r="T75" s="1" t="str">
        <f>IFERROR(
IF(
UPPER(TRIM(_xlfn.XLOOKUP(B75,PLANEJAMENTO!B:B,PLANEJAMENTO!T:T)))="✅ CONCLUÍDO",
"x",
""
),
"")</f>
        <v>x</v>
      </c>
    </row>
    <row r="76" spans="1:20" x14ac:dyDescent="0.3">
      <c r="A76" s="1" t="str">
        <f>IF(PLANEJAMENTO!A76="","",PLANEJAMENTO!A76)</f>
        <v>BR88239-A</v>
      </c>
      <c r="B76" s="1" t="str">
        <f>IF(PLANEJAMENTO!B76="","",PLANEJAMENTO!B76)</f>
        <v>contel-75</v>
      </c>
      <c r="G76" s="1" t="s">
        <v>604</v>
      </c>
      <c r="J76" s="1" t="s">
        <v>604</v>
      </c>
      <c r="S76" s="1" t="str">
        <f ca="1">IFERROR(
IF(
UPPER(TRIM(_xlfn.XLOOKUP(A76,PLANEJAMENTO!A:A,PLANEJAMENTO!T:T)))="🚫CANCELADO",
"x",
""
),
"")</f>
        <v/>
      </c>
      <c r="T76" s="1" t="str">
        <f ca="1">IFERROR(
IF(
UPPER(TRIM(_xlfn.XLOOKUP(B76,PLANEJAMENTO!B:B,PLANEJAMENTO!T:T)))="✅ CONCLUÍDO",
"x",
""
),
"")</f>
        <v/>
      </c>
    </row>
    <row r="77" spans="1:20" x14ac:dyDescent="0.3">
      <c r="A77" s="1">
        <f>IF(PLANEJAMENTO!A77="","",PLANEJAMENTO!A77)</f>
        <v>63060028</v>
      </c>
      <c r="B77" s="1" t="str">
        <f>IF(PLANEJAMENTO!B77="","",PLANEJAMENTO!B77)</f>
        <v>contel-76</v>
      </c>
      <c r="S77" s="1" t="str">
        <f>IFERROR(
IF(
UPPER(TRIM(_xlfn.XLOOKUP(A77,PLANEJAMENTO!A:A,PLANEJAMENTO!T:T)))="🚫CANCELADO",
"x",
""
),
"")</f>
        <v/>
      </c>
      <c r="T77" s="1" t="str">
        <f>IFERROR(
IF(
UPPER(TRIM(_xlfn.XLOOKUP(B77,PLANEJAMENTO!B:B,PLANEJAMENTO!T:T)))="✅ CONCLUÍDO",
"x",
""
),
"")</f>
        <v>x</v>
      </c>
    </row>
    <row r="78" spans="1:20" x14ac:dyDescent="0.3">
      <c r="A78" s="1">
        <f>IF(PLANEJAMENTO!A78="","",PLANEJAMENTO!A78)</f>
        <v>82080010</v>
      </c>
      <c r="B78" s="1" t="str">
        <f>IF(PLANEJAMENTO!B78="","",PLANEJAMENTO!B78)</f>
        <v>contel-77</v>
      </c>
      <c r="S78" s="1" t="str">
        <f>IFERROR(
IF(
UPPER(TRIM(_xlfn.XLOOKUP(A78,PLANEJAMENTO!A:A,PLANEJAMENTO!T:T)))="🚫CANCELADO",
"x",
""
),
"")</f>
        <v/>
      </c>
      <c r="T78" s="1" t="str">
        <f>IFERROR(
IF(
UPPER(TRIM(_xlfn.XLOOKUP(B78,PLANEJAMENTO!B:B,PLANEJAMENTO!T:T)))="✅ CONCLUÍDO",
"x",
""
),
"")</f>
        <v>x</v>
      </c>
    </row>
    <row r="79" spans="1:20" x14ac:dyDescent="0.3">
      <c r="A79" s="1" t="str">
        <f>IF(PLANEJAMENTO!A79="","",PLANEJAMENTO!A79)</f>
        <v>CONDOMINIO GENOVA</v>
      </c>
      <c r="B79" s="1" t="str">
        <f>IF(PLANEJAMENTO!B79="","",PLANEJAMENTO!B79)</f>
        <v>contel-78</v>
      </c>
      <c r="S79" s="1" t="str">
        <f>IFERROR(
IF(
UPPER(TRIM(_xlfn.XLOOKUP(A79,PLANEJAMENTO!A:A,PLANEJAMENTO!T:T)))="🚫CANCELADO",
"x",
""
),
"")</f>
        <v/>
      </c>
      <c r="T79" s="1" t="str">
        <f>IFERROR(
IF(
UPPER(TRIM(_xlfn.XLOOKUP(B79,PLANEJAMENTO!B:B,PLANEJAMENTO!T:T)))="✅ CONCLUÍDO",
"x",
""
),
"")</f>
        <v>x</v>
      </c>
    </row>
    <row r="80" spans="1:20" x14ac:dyDescent="0.3">
      <c r="A80" s="1" t="str">
        <f>IF(PLANEJAMENTO!A80="","",PLANEJAMENTO!A80)</f>
        <v>DFBRS174</v>
      </c>
      <c r="B80" s="1" t="str">
        <f>IF(PLANEJAMENTO!B80="","",PLANEJAMENTO!B80)</f>
        <v>contel-79</v>
      </c>
      <c r="R80" s="1" t="s">
        <v>604</v>
      </c>
      <c r="S80" s="1" t="str">
        <f>IFERROR(
IF(
UPPER(TRIM(_xlfn.XLOOKUP(A80,PLANEJAMENTO!A:A,PLANEJAMENTO!T:T)))="🚫CANCELADO",
"x",
""
),
"")</f>
        <v/>
      </c>
      <c r="T80" s="1" t="str">
        <f>IFERROR(
IF(
UPPER(TRIM(_xlfn.XLOOKUP(B80,PLANEJAMENTO!B:B,PLANEJAMENTO!T:T)))="✅ CONCLUÍDO",
"x",
""
),
"")</f>
        <v/>
      </c>
    </row>
    <row r="81" spans="1:20" x14ac:dyDescent="0.3">
      <c r="A81" s="1" t="str">
        <f>IF(PLANEJAMENTO!A81="","",PLANEJAMENTO!A81)</f>
        <v>MSPRT002</v>
      </c>
      <c r="B81" s="1" t="str">
        <f>IF(PLANEJAMENTO!B81="","",PLANEJAMENTO!B81)</f>
        <v>contel-80</v>
      </c>
      <c r="G81" s="1" t="s">
        <v>604</v>
      </c>
      <c r="S81" s="1" t="str">
        <f ca="1">IFERROR(
IF(
UPPER(TRIM(_xlfn.XLOOKUP(A81,PLANEJAMENTO!A:A,PLANEJAMENTO!T:T)))="🚫CANCELADO",
"x",
""
),
"")</f>
        <v/>
      </c>
      <c r="T81" s="1" t="str">
        <f ca="1">IFERROR(
IF(
UPPER(TRIM(_xlfn.XLOOKUP(B81,PLANEJAMENTO!B:B,PLANEJAMENTO!T:T)))="✅ CONCLUÍDO",
"x",
""
),
"")</f>
        <v/>
      </c>
    </row>
    <row r="82" spans="1:20" x14ac:dyDescent="0.3">
      <c r="A82" s="1" t="str">
        <f>IF(PLANEJAMENTO!A82="","",PLANEJAMENTO!A82)</f>
        <v>PAVGX002</v>
      </c>
      <c r="B82" s="1" t="str">
        <f>IF(PLANEJAMENTO!B82="","",PLANEJAMENTO!B82)</f>
        <v>contel-81</v>
      </c>
      <c r="G82" s="1" t="s">
        <v>604</v>
      </c>
      <c r="S82" s="1" t="str">
        <f ca="1">IFERROR(
IF(
UPPER(TRIM(_xlfn.XLOOKUP(A82,PLANEJAMENTO!A:A,PLANEJAMENTO!T:T)))="🚫CANCELADO",
"x",
""
),
"")</f>
        <v/>
      </c>
      <c r="T82" s="1" t="str">
        <f ca="1">IFERROR(
IF(
UPPER(TRIM(_xlfn.XLOOKUP(B82,PLANEJAMENTO!B:B,PLANEJAMENTO!T:T)))="✅ CONCLUÍDO",
"x",
""
),
"")</f>
        <v/>
      </c>
    </row>
    <row r="83" spans="1:20" x14ac:dyDescent="0.3">
      <c r="A83" s="1" t="str">
        <f>IF(PLANEJAMENTO!A83="","",PLANEJAMENTO!A83)</f>
        <v>MTCST002</v>
      </c>
      <c r="B83" s="1" t="str">
        <f>IF(PLANEJAMENTO!B83="","",PLANEJAMENTO!B83)</f>
        <v>contel-82</v>
      </c>
      <c r="G83" s="1" t="s">
        <v>604</v>
      </c>
      <c r="S83" s="1" t="str">
        <f ca="1">IFERROR(
IF(
UPPER(TRIM(_xlfn.XLOOKUP(A83,PLANEJAMENTO!A:A,PLANEJAMENTO!T:T)))="🚫CANCELADO",
"x",
""
),
"")</f>
        <v/>
      </c>
      <c r="T83" s="1" t="str">
        <f ca="1">IFERROR(
IF(
UPPER(TRIM(_xlfn.XLOOKUP(B83,PLANEJAMENTO!B:B,PLANEJAMENTO!T:T)))="✅ CONCLUÍDO",
"x",
""
),
"")</f>
        <v/>
      </c>
    </row>
    <row r="84" spans="1:20" x14ac:dyDescent="0.3">
      <c r="A84" s="1" t="str">
        <f>IF(PLANEJAMENTO!A84="","",PLANEJAMENTO!A84)</f>
        <v>BR77226-A</v>
      </c>
      <c r="B84" s="1" t="str">
        <f>IF(PLANEJAMENTO!B84="","",PLANEJAMENTO!B84)</f>
        <v>contel-83</v>
      </c>
      <c r="S84" s="1" t="str">
        <f>IFERROR(
IF(
UPPER(TRIM(_xlfn.XLOOKUP(A84,PLANEJAMENTO!A:A,PLANEJAMENTO!T:T)))="🚫CANCELADO",
"x",
""
),
"")</f>
        <v/>
      </c>
      <c r="T84" s="1" t="str">
        <f>IFERROR(
IF(
UPPER(TRIM(_xlfn.XLOOKUP(B84,PLANEJAMENTO!B:B,PLANEJAMENTO!T:T)))="✅ CONCLUÍDO",
"x",
""
),
"")</f>
        <v>x</v>
      </c>
    </row>
    <row r="85" spans="1:20" x14ac:dyDescent="0.3">
      <c r="A85" s="1" t="str">
        <f>IF(PLANEJAMENTO!A85="","",PLANEJAMENTO!A85)</f>
        <v>BR65897-A</v>
      </c>
      <c r="B85" s="1" t="str">
        <f>IF(PLANEJAMENTO!B85="","",PLANEJAMENTO!B85)</f>
        <v>contel-84</v>
      </c>
      <c r="S85" s="1" t="str">
        <f>IFERROR(
IF(
UPPER(TRIM(_xlfn.XLOOKUP(A85,PLANEJAMENTO!A:A,PLANEJAMENTO!T:T)))="🚫CANCELADO",
"x",
""
),
"")</f>
        <v/>
      </c>
      <c r="T85" s="1" t="str">
        <f>IFERROR(
IF(
UPPER(TRIM(_xlfn.XLOOKUP(B85,PLANEJAMENTO!B:B,PLANEJAMENTO!T:T)))="✅ CONCLUÍDO",
"x",
""
),
"")</f>
        <v>x</v>
      </c>
    </row>
    <row r="86" spans="1:20" x14ac:dyDescent="0.3">
      <c r="A86" s="1" t="str">
        <f>IF(PLANEJAMENTO!A86="","",PLANEJAMENTO!A86)</f>
        <v>BR73373-R</v>
      </c>
      <c r="B86" s="1" t="str">
        <f>IF(PLANEJAMENTO!B86="","",PLANEJAMENTO!B86)</f>
        <v>contel-85</v>
      </c>
      <c r="G86" s="1" t="s">
        <v>604</v>
      </c>
      <c r="S86" s="1" t="str">
        <f ca="1">IFERROR(
IF(
UPPER(TRIM(_xlfn.XLOOKUP(A86,PLANEJAMENTO!A:A,PLANEJAMENTO!T:T)))="🚫CANCELADO",
"x",
""
),
"")</f>
        <v/>
      </c>
      <c r="T86" s="1" t="str">
        <f ca="1">IFERROR(
IF(
UPPER(TRIM(_xlfn.XLOOKUP(B86,PLANEJAMENTO!B:B,PLANEJAMENTO!T:T)))="✅ CONCLUÍDO",
"x",
""
),
"")</f>
        <v/>
      </c>
    </row>
    <row r="87" spans="1:20" x14ac:dyDescent="0.3">
      <c r="A87" s="1" t="str">
        <f>IF(PLANEJAMENTO!A87="","",PLANEJAMENTO!A87)</f>
        <v>BR50560-A</v>
      </c>
      <c r="B87" s="1" t="str">
        <f>IF(PLANEJAMENTO!B87="","",PLANEJAMENTO!B87)</f>
        <v>contel-86</v>
      </c>
      <c r="S87" s="1" t="str">
        <f>IFERROR(
IF(
UPPER(TRIM(_xlfn.XLOOKUP(A87,PLANEJAMENTO!A:A,PLANEJAMENTO!T:T)))="🚫CANCELADO",
"x",
""
),
"")</f>
        <v/>
      </c>
      <c r="T87" s="1" t="str">
        <f>IFERROR(
IF(
UPPER(TRIM(_xlfn.XLOOKUP(B87,PLANEJAMENTO!B:B,PLANEJAMENTO!T:T)))="✅ CONCLUÍDO",
"x",
""
),
"")</f>
        <v>x</v>
      </c>
    </row>
    <row r="88" spans="1:20" x14ac:dyDescent="0.3">
      <c r="A88" s="1" t="str">
        <f>IF(PLANEJAMENTO!A88="","",PLANEJAMENTO!A88)</f>
        <v>SSS6</v>
      </c>
      <c r="B88" s="1" t="str">
        <f>IF(PLANEJAMENTO!B88="","",PLANEJAMENTO!B88)</f>
        <v>contel-87</v>
      </c>
      <c r="H88" s="1" t="s">
        <v>604</v>
      </c>
      <c r="S88" s="1" t="str">
        <f ca="1">IFERROR(
IF(
UPPER(TRIM(_xlfn.XLOOKUP(A88,PLANEJAMENTO!A:A,PLANEJAMENTO!T:T)))="🚫CANCELADO",
"x",
""
),
"")</f>
        <v/>
      </c>
      <c r="T88" s="1" t="str">
        <f ca="1">IFERROR(
IF(
UPPER(TRIM(_xlfn.XLOOKUP(B88,PLANEJAMENTO!B:B,PLANEJAMENTO!T:T)))="✅ CONCLUÍDO",
"x",
""
),
"")</f>
        <v/>
      </c>
    </row>
    <row r="89" spans="1:20" x14ac:dyDescent="0.3">
      <c r="A89" s="1" t="str">
        <f>IF(PLANEJAMENTO!A89="","",PLANEJAMENTO!A89)</f>
        <v>SS25</v>
      </c>
      <c r="B89" s="1" t="str">
        <f>IF(PLANEJAMENTO!B89="","",PLANEJAMENTO!B89)</f>
        <v>contel-88</v>
      </c>
      <c r="H89" s="1" t="s">
        <v>604</v>
      </c>
      <c r="S89" s="1" t="str">
        <f ca="1">IFERROR(
IF(
UPPER(TRIM(_xlfn.XLOOKUP(A89,PLANEJAMENTO!A:A,PLANEJAMENTO!T:T)))="🚫CANCELADO",
"x",
""
),
"")</f>
        <v/>
      </c>
      <c r="T89" s="1" t="str">
        <f ca="1">IFERROR(
IF(
UPPER(TRIM(_xlfn.XLOOKUP(B89,PLANEJAMENTO!B:B,PLANEJAMENTO!T:T)))="✅ CONCLUÍDO",
"x",
""
),
"")</f>
        <v/>
      </c>
    </row>
    <row r="90" spans="1:20" x14ac:dyDescent="0.3">
      <c r="A90" s="1" t="str">
        <f>IF(PLANEJAMENTO!A90="","",PLANEJAMENTO!A90)</f>
        <v>SS26</v>
      </c>
      <c r="B90" s="1" t="str">
        <f>IF(PLANEJAMENTO!B90="","",PLANEJAMENTO!B90)</f>
        <v>contel-89</v>
      </c>
      <c r="H90" s="1" t="s">
        <v>604</v>
      </c>
      <c r="S90" s="1" t="str">
        <f ca="1">IFERROR(
IF(
UPPER(TRIM(_xlfn.XLOOKUP(A90,PLANEJAMENTO!A:A,PLANEJAMENTO!T:T)))="🚫CANCELADO",
"x",
""
),
"")</f>
        <v/>
      </c>
      <c r="T90" s="1" t="str">
        <f ca="1">IFERROR(
IF(
UPPER(TRIM(_xlfn.XLOOKUP(B90,PLANEJAMENTO!B:B,PLANEJAMENTO!T:T)))="✅ CONCLUÍDO",
"x",
""
),
"")</f>
        <v/>
      </c>
    </row>
    <row r="91" spans="1:20" x14ac:dyDescent="0.3">
      <c r="A91" s="1" t="str">
        <f>IF(PLANEJAMENTO!A91="","",PLANEJAMENTO!A91)</f>
        <v>ST26</v>
      </c>
      <c r="B91" s="1" t="str">
        <f>IF(PLANEJAMENTO!B91="","",PLANEJAMENTO!B91)</f>
        <v>contel-90</v>
      </c>
      <c r="H91" s="1" t="s">
        <v>604</v>
      </c>
      <c r="S91" s="1" t="str">
        <f ca="1">IFERROR(
IF(
UPPER(TRIM(_xlfn.XLOOKUP(A91,PLANEJAMENTO!A:A,PLANEJAMENTO!T:T)))="🚫CANCELADO",
"x",
""
),
"")</f>
        <v/>
      </c>
      <c r="T91" s="1" t="str">
        <f ca="1">IFERROR(
IF(
UPPER(TRIM(_xlfn.XLOOKUP(B91,PLANEJAMENTO!B:B,PLANEJAMENTO!T:T)))="✅ CONCLUÍDO",
"x",
""
),
"")</f>
        <v/>
      </c>
    </row>
    <row r="92" spans="1:20" x14ac:dyDescent="0.3">
      <c r="A92" s="1" t="str">
        <f>IF(PLANEJAMENTO!A92="","",PLANEJAMENTO!A92)</f>
        <v>GTB40</v>
      </c>
      <c r="B92" s="1" t="str">
        <f>IF(PLANEJAMENTO!B92="","",PLANEJAMENTO!B92)</f>
        <v>contel-91</v>
      </c>
      <c r="H92" s="1" t="s">
        <v>604</v>
      </c>
      <c r="S92" s="1" t="str">
        <f ca="1">IFERROR(
IF(
UPPER(TRIM(_xlfn.XLOOKUP(A92,PLANEJAMENTO!A:A,PLANEJAMENTO!T:T)))="🚫CANCELADO",
"x",
""
),
"")</f>
        <v/>
      </c>
      <c r="T92" s="1" t="str">
        <f ca="1">IFERROR(
IF(
UPPER(TRIM(_xlfn.XLOOKUP(B92,PLANEJAMENTO!B:B,PLANEJAMENTO!T:T)))="✅ CONCLUÍDO",
"x",
""
),
"")</f>
        <v/>
      </c>
    </row>
    <row r="93" spans="1:20" x14ac:dyDescent="0.3">
      <c r="A93" s="1" t="str">
        <f>IF(PLANEJAMENTO!A93="","",PLANEJAMENTO!A93)</f>
        <v>GTB64</v>
      </c>
      <c r="B93" s="1" t="str">
        <f>IF(PLANEJAMENTO!B93="","",PLANEJAMENTO!B93)</f>
        <v>contel-92</v>
      </c>
      <c r="H93" s="1" t="s">
        <v>604</v>
      </c>
      <c r="S93" s="1" t="str">
        <f ca="1">IFERROR(
IF(
UPPER(TRIM(_xlfn.XLOOKUP(A93,PLANEJAMENTO!A:A,PLANEJAMENTO!T:T)))="🚫CANCELADO",
"x",
""
),
"")</f>
        <v/>
      </c>
      <c r="T93" s="1" t="str">
        <f ca="1">IFERROR(
IF(
UPPER(TRIM(_xlfn.XLOOKUP(B93,PLANEJAMENTO!B:B,PLANEJAMENTO!T:T)))="✅ CONCLUÍDO",
"x",
""
),
"")</f>
        <v/>
      </c>
    </row>
    <row r="94" spans="1:20" x14ac:dyDescent="0.3">
      <c r="A94" s="1" t="str">
        <f>IF(PLANEJAMENTO!A94="","",PLANEJAMENTO!A94)</f>
        <v>CPE003TM</v>
      </c>
      <c r="B94" s="1" t="str">
        <f>IF(PLANEJAMENTO!B94="","",PLANEJAMENTO!B94)</f>
        <v>contel-93</v>
      </c>
      <c r="Q94" s="1" t="s">
        <v>604</v>
      </c>
      <c r="S94" s="1" t="str">
        <f ca="1">IFERROR(
IF(
UPPER(TRIM(_xlfn.XLOOKUP(A94,PLANEJAMENTO!A:A,PLANEJAMENTO!T:T)))="🚫CANCELADO",
"x",
""
),
"")</f>
        <v/>
      </c>
      <c r="T94" s="1" t="str">
        <f ca="1">IFERROR(
IF(
UPPER(TRIM(_xlfn.XLOOKUP(B94,PLANEJAMENTO!B:B,PLANEJAMENTO!T:T)))="✅ CONCLUÍDO",
"x",
""
),
"")</f>
        <v/>
      </c>
    </row>
    <row r="95" spans="1:20" x14ac:dyDescent="0.3">
      <c r="A95" s="1" t="str">
        <f>IF(PLANEJAMENTO!A95="","",PLANEJAMENTO!A95)</f>
        <v>CBA013TM</v>
      </c>
      <c r="B95" s="1" t="str">
        <f>IF(PLANEJAMENTO!B95="","",PLANEJAMENTO!B95)</f>
        <v>contel-94</v>
      </c>
      <c r="S95" s="1" t="str">
        <f>IFERROR(
IF(
UPPER(TRIM(_xlfn.XLOOKUP(A95,PLANEJAMENTO!A:A,PLANEJAMENTO!T:T)))="🚫CANCELADO",
"x",
""
),
"")</f>
        <v>x</v>
      </c>
      <c r="T95" s="1" t="str">
        <f>IFERROR(
IF(
UPPER(TRIM(_xlfn.XLOOKUP(B95,PLANEJAMENTO!B:B,PLANEJAMENTO!T:T)))="✅ CONCLUÍDO",
"x",
""
),
"")</f>
        <v/>
      </c>
    </row>
    <row r="96" spans="1:20" x14ac:dyDescent="0.3">
      <c r="A96" s="1" t="str">
        <f>IF(PLANEJAMENTO!A96="","",PLANEJAMENTO!A96)</f>
        <v>MZE001TM</v>
      </c>
      <c r="B96" s="1" t="str">
        <f>IF(PLANEJAMENTO!B96="","",PLANEJAMENTO!B96)</f>
        <v>contel-95</v>
      </c>
      <c r="S96" s="1" t="str">
        <f>IFERROR(
IF(
UPPER(TRIM(_xlfn.XLOOKUP(A96,PLANEJAMENTO!A:A,PLANEJAMENTO!T:T)))="🚫CANCELADO",
"x",
""
),
"")</f>
        <v/>
      </c>
      <c r="T96" s="1" t="str">
        <f>IFERROR(
IF(
UPPER(TRIM(_xlfn.XLOOKUP(B96,PLANEJAMENTO!B:B,PLANEJAMENTO!T:T)))="✅ CONCLUÍDO",
"x",
""
),
"")</f>
        <v>x</v>
      </c>
    </row>
    <row r="97" spans="1:20" x14ac:dyDescent="0.3">
      <c r="A97" s="1" t="str">
        <f>IF(PLANEJAMENTO!A97="","",PLANEJAMENTO!A97)</f>
        <v>SMT002VV</v>
      </c>
      <c r="B97" s="1" t="str">
        <f>IF(PLANEJAMENTO!B97="","",PLANEJAMENTO!B97)</f>
        <v>contel-96</v>
      </c>
      <c r="S97" s="1" t="str">
        <f>IFERROR(
IF(
UPPER(TRIM(_xlfn.XLOOKUP(A97,PLANEJAMENTO!A:A,PLANEJAMENTO!T:T)))="🚫CANCELADO",
"x",
""
),
"")</f>
        <v/>
      </c>
      <c r="T97" s="1" t="str">
        <f>IFERROR(
IF(
UPPER(TRIM(_xlfn.XLOOKUP(B97,PLANEJAMENTO!B:B,PLANEJAMENTO!T:T)))="✅ CONCLUÍDO",
"x",
""
),
"")</f>
        <v>x</v>
      </c>
    </row>
    <row r="98" spans="1:20" x14ac:dyDescent="0.3">
      <c r="A98" s="1" t="str">
        <f>IF(PLANEJAMENTO!A98="","",PLANEJAMENTO!A98)</f>
        <v>RJO242B1</v>
      </c>
      <c r="B98" s="1" t="str">
        <f>IF(PLANEJAMENTO!B98="","",PLANEJAMENTO!B98)</f>
        <v>contel-97</v>
      </c>
      <c r="K98" s="1" t="s">
        <v>604</v>
      </c>
      <c r="N98" s="1" t="s">
        <v>604</v>
      </c>
      <c r="O98" s="1" t="s">
        <v>604</v>
      </c>
      <c r="S98" s="1" t="str">
        <f ca="1">IFERROR(
IF(
UPPER(TRIM(_xlfn.XLOOKUP(A98,PLANEJAMENTO!A:A,PLANEJAMENTO!T:T)))="🚫CANCELADO",
"x",
""
),
"")</f>
        <v/>
      </c>
      <c r="T98" s="1" t="str">
        <f ca="1">IFERROR(
IF(
UPPER(TRIM(_xlfn.XLOOKUP(B98,PLANEJAMENTO!B:B,PLANEJAMENTO!T:T)))="✅ CONCLUÍDO",
"x",
""
),
"")</f>
        <v/>
      </c>
    </row>
    <row r="99" spans="1:20" x14ac:dyDescent="0.3">
      <c r="A99" s="1" t="str">
        <f>IF(PLANEJAMENTO!A99="","",PLANEJAMENTO!A99)</f>
        <v>CND001B1</v>
      </c>
      <c r="B99" s="1" t="str">
        <f>IF(PLANEJAMENTO!B99="","",PLANEJAMENTO!B99)</f>
        <v>contel-98</v>
      </c>
      <c r="J99" s="1" t="s">
        <v>604</v>
      </c>
      <c r="K99" s="1" t="s">
        <v>604</v>
      </c>
      <c r="S99" s="1" t="str">
        <f ca="1">IFERROR(
IF(
UPPER(TRIM(_xlfn.XLOOKUP(A99,PLANEJAMENTO!A:A,PLANEJAMENTO!T:T)))="🚫CANCELADO",
"x",
""
),
"")</f>
        <v/>
      </c>
      <c r="T99" s="1" t="str">
        <f ca="1">IFERROR(
IF(
UPPER(TRIM(_xlfn.XLOOKUP(B99,PLANEJAMENTO!B:B,PLANEJAMENTO!T:T)))="✅ CONCLUÍDO",
"x",
""
),
"")</f>
        <v/>
      </c>
    </row>
    <row r="100" spans="1:20" x14ac:dyDescent="0.3">
      <c r="A100" s="1" t="str">
        <f>IF(PLANEJAMENTO!A100="","",PLANEJAMENTO!A100)</f>
        <v>RJO058NP</v>
      </c>
      <c r="B100" s="1" t="str">
        <f>IF(PLANEJAMENTO!B100="","",PLANEJAMENTO!B100)</f>
        <v>contel-99</v>
      </c>
      <c r="O100" s="1" t="s">
        <v>604</v>
      </c>
      <c r="S100" s="1" t="str">
        <f ca="1">IFERROR(
IF(
UPPER(TRIM(_xlfn.XLOOKUP(A100,PLANEJAMENTO!A:A,PLANEJAMENTO!T:T)))="🚫CANCELADO",
"x",
""
),
"")</f>
        <v/>
      </c>
      <c r="T100" s="1" t="str">
        <f ca="1">IFERROR(
IF(
UPPER(TRIM(_xlfn.XLOOKUP(B100,PLANEJAMENTO!B:B,PLANEJAMENTO!T:T)))="✅ CONCLUÍDO",
"x",
""
),
"")</f>
        <v/>
      </c>
    </row>
    <row r="101" spans="1:20" x14ac:dyDescent="0.3">
      <c r="A101" s="1" t="str">
        <f>IF(PLANEJAMENTO!A101="","",PLANEJAMENTO!A101)</f>
        <v>BR80471-A</v>
      </c>
      <c r="B101" s="1" t="str">
        <f>IF(PLANEJAMENTO!B101="","",PLANEJAMENTO!B101)</f>
        <v>contel-100</v>
      </c>
      <c r="O101" s="1" t="s">
        <v>604</v>
      </c>
      <c r="S101" s="1" t="str">
        <f ca="1">IFERROR(
IF(
UPPER(TRIM(_xlfn.XLOOKUP(A101,PLANEJAMENTO!A:A,PLANEJAMENTO!T:T)))="🚫CANCELADO",
"x",
""
),
"")</f>
        <v/>
      </c>
      <c r="T101" s="1" t="str">
        <f ca="1">IFERROR(
IF(
UPPER(TRIM(_xlfn.XLOOKUP(B101,PLANEJAMENTO!B:B,PLANEJAMENTO!T:T)))="✅ CONCLUÍDO",
"x",
""
),
"")</f>
        <v/>
      </c>
    </row>
    <row r="102" spans="1:20" x14ac:dyDescent="0.3">
      <c r="A102" s="1" t="str">
        <f>IF(PLANEJAMENTO!A102="","",PLANEJAMENTO!A102)</f>
        <v>BR88454-A</v>
      </c>
      <c r="B102" s="1" t="str">
        <f>IF(PLANEJAMENTO!B102="","",PLANEJAMENTO!B102)</f>
        <v>contel-101</v>
      </c>
      <c r="S102" s="1" t="str">
        <f>IFERROR(
IF(
UPPER(TRIM(_xlfn.XLOOKUP(A102,PLANEJAMENTO!A:A,PLANEJAMENTO!T:T)))="🚫CANCELADO",
"x",
""
),
"")</f>
        <v/>
      </c>
      <c r="T102" s="1" t="str">
        <f>IFERROR(
IF(
UPPER(TRIM(_xlfn.XLOOKUP(B102,PLANEJAMENTO!B:B,PLANEJAMENTO!T:T)))="✅ CONCLUÍDO",
"x",
""
),
"")</f>
        <v>x</v>
      </c>
    </row>
    <row r="103" spans="1:20" x14ac:dyDescent="0.3">
      <c r="A103" s="1" t="str">
        <f>IF(PLANEJAMENTO!A103="","",PLANEJAMENTO!A103)</f>
        <v xml:space="preserve">BSA030TM </v>
      </c>
      <c r="B103" s="1" t="str">
        <f>IF(PLANEJAMENTO!B103="","",PLANEJAMENTO!B103)</f>
        <v>contel-102</v>
      </c>
      <c r="L103" s="1" t="s">
        <v>604</v>
      </c>
      <c r="S103" s="1" t="str">
        <f ca="1">IFERROR(
IF(
UPPER(TRIM(_xlfn.XLOOKUP(A103,PLANEJAMENTO!A:A,PLANEJAMENTO!T:T)))="🚫CANCELADO",
"x",
""
),
"")</f>
        <v/>
      </c>
      <c r="T103" s="1" t="str">
        <f ca="1">IFERROR(
IF(
UPPER(TRIM(_xlfn.XLOOKUP(B103,PLANEJAMENTO!B:B,PLANEJAMENTO!T:T)))="✅ CONCLUÍDO",
"x",
""
),
"")</f>
        <v/>
      </c>
    </row>
    <row r="104" spans="1:20" x14ac:dyDescent="0.3">
      <c r="A104" s="1" t="str">
        <f>IF(PLANEJAMENTO!A104="","",PLANEJAMENTO!A104)</f>
        <v>PPO001TM</v>
      </c>
      <c r="B104" s="1" t="str">
        <f>IF(PLANEJAMENTO!B104="","",PLANEJAMENTO!B104)</f>
        <v>contel-103</v>
      </c>
      <c r="L104" s="1" t="s">
        <v>604</v>
      </c>
      <c r="S104" s="1" t="str">
        <f ca="1">IFERROR(
IF(
UPPER(TRIM(_xlfn.XLOOKUP(A104,PLANEJAMENTO!A:A,PLANEJAMENTO!T:T)))="🚫CANCELADO",
"x",
""
),
"")</f>
        <v/>
      </c>
      <c r="T104" s="1" t="str">
        <f ca="1">IFERROR(
IF(
UPPER(TRIM(_xlfn.XLOOKUP(B104,PLANEJAMENTO!B:B,PLANEJAMENTO!T:T)))="✅ CONCLUÍDO",
"x",
""
),
"")</f>
        <v/>
      </c>
    </row>
    <row r="105" spans="1:20" x14ac:dyDescent="0.3">
      <c r="A105" s="1" t="str">
        <f>IF(PLANEJAMENTO!A105="","",PLANEJAMENTO!A105)</f>
        <v>SBB002VV</v>
      </c>
      <c r="B105" s="1" t="str">
        <f>IF(PLANEJAMENTO!B105="","",PLANEJAMENTO!B105)</f>
        <v>contel-104</v>
      </c>
      <c r="L105" s="1" t="s">
        <v>604</v>
      </c>
      <c r="S105" s="1" t="str">
        <f ca="1">IFERROR(
IF(
UPPER(TRIM(_xlfn.XLOOKUP(A105,PLANEJAMENTO!A:A,PLANEJAMENTO!T:T)))="🚫CANCELADO",
"x",
""
),
"")</f>
        <v/>
      </c>
      <c r="T105" s="1" t="str">
        <f ca="1">IFERROR(
IF(
UPPER(TRIM(_xlfn.XLOOKUP(B105,PLANEJAMENTO!B:B,PLANEJAMENTO!T:T)))="✅ CONCLUÍDO",
"x",
""
),
"")</f>
        <v/>
      </c>
    </row>
    <row r="106" spans="1:20" x14ac:dyDescent="0.3">
      <c r="A106" s="1" t="str">
        <f>IF(PLANEJAMENTO!A106="","",PLANEJAMENTO!A106)</f>
        <v>GNA064TM</v>
      </c>
      <c r="B106" s="1" t="str">
        <f>IF(PLANEJAMENTO!B106="","",PLANEJAMENTO!B106)</f>
        <v>contel-105</v>
      </c>
      <c r="S106" s="1" t="str">
        <f>IFERROR(
IF(
UPPER(TRIM(_xlfn.XLOOKUP(A106,PLANEJAMENTO!A:A,PLANEJAMENTO!T:T)))="🚫CANCELADO",
"x",
""
),
"")</f>
        <v/>
      </c>
      <c r="T106" s="1" t="str">
        <f>IFERROR(
IF(
UPPER(TRIM(_xlfn.XLOOKUP(B106,PLANEJAMENTO!B:B,PLANEJAMENTO!T:T)))="✅ CONCLUÍDO",
"x",
""
),
"")</f>
        <v>x</v>
      </c>
    </row>
    <row r="107" spans="1:20" x14ac:dyDescent="0.3">
      <c r="A107" s="1" t="str">
        <f>IF(PLANEJAMENTO!A107="","",PLANEJAMENTO!A107)</f>
        <v>MSCMX003</v>
      </c>
      <c r="B107" s="1" t="str">
        <f>IF(PLANEJAMENTO!B107="","",PLANEJAMENTO!B107)</f>
        <v>contel-106</v>
      </c>
      <c r="S107" s="1" t="str">
        <f>IFERROR(
IF(
UPPER(TRIM(_xlfn.XLOOKUP(A107,PLANEJAMENTO!A:A,PLANEJAMENTO!T:T)))="🚫CANCELADO",
"x",
""
),
"")</f>
        <v/>
      </c>
      <c r="T107" s="1" t="str">
        <f>IFERROR(
IF(
UPPER(TRIM(_xlfn.XLOOKUP(B107,PLANEJAMENTO!B:B,PLANEJAMENTO!T:T)))="✅ CONCLUÍDO",
"x",
""
),
"")</f>
        <v>x</v>
      </c>
    </row>
    <row r="108" spans="1:20" x14ac:dyDescent="0.3">
      <c r="A108" s="1" t="str">
        <f>IF(PLANEJAMENTO!A108="","",PLANEJAMENTO!A108)</f>
        <v>SQR002VV</v>
      </c>
      <c r="B108" s="1" t="str">
        <f>IF(PLANEJAMENTO!B108="","",PLANEJAMENTO!B108)</f>
        <v>contel-107</v>
      </c>
      <c r="J108" s="1" t="s">
        <v>604</v>
      </c>
      <c r="K108" s="1" t="s">
        <v>604</v>
      </c>
      <c r="S108" s="1" t="str">
        <f ca="1">IFERROR(
IF(
UPPER(TRIM(_xlfn.XLOOKUP(A108,PLANEJAMENTO!A:A,PLANEJAMENTO!T:T)))="🚫CANCELADO",
"x",
""
),
"")</f>
        <v/>
      </c>
      <c r="T108" s="1" t="str">
        <f ca="1">IFERROR(
IF(
UPPER(TRIM(_xlfn.XLOOKUP(B108,PLANEJAMENTO!B:B,PLANEJAMENTO!T:T)))="✅ CONCLUÍDO",
"x",
""
),
"")</f>
        <v/>
      </c>
    </row>
    <row r="109" spans="1:20" x14ac:dyDescent="0.3">
      <c r="A109" s="1" t="str">
        <f>IF(PLANEJAMENTO!A109="","",PLANEJAMENTO!A109)</f>
        <v>BSA067TM</v>
      </c>
      <c r="B109" s="1" t="str">
        <f>IF(PLANEJAMENTO!B109="","",PLANEJAMENTO!B109)</f>
        <v>contel-108</v>
      </c>
      <c r="J109" s="1" t="s">
        <v>604</v>
      </c>
      <c r="K109" s="1" t="s">
        <v>604</v>
      </c>
      <c r="S109" s="1" t="str">
        <f ca="1">IFERROR(
IF(
UPPER(TRIM(_xlfn.XLOOKUP(A109,PLANEJAMENTO!A:A,PLANEJAMENTO!T:T)))="🚫CANCELADO",
"x",
""
),
"")</f>
        <v/>
      </c>
      <c r="T109" s="1" t="str">
        <f ca="1">IFERROR(
IF(
UPPER(TRIM(_xlfn.XLOOKUP(B109,PLANEJAMENTO!B:B,PLANEJAMENTO!T:T)))="✅ CONCLUÍDO",
"x",
""
),
"")</f>
        <v/>
      </c>
    </row>
    <row r="110" spans="1:20" x14ac:dyDescent="0.3">
      <c r="A110" s="1" t="str">
        <f>IF(PLANEJAMENTO!A110="","",PLANEJAMENTO!A110)</f>
        <v>CFR001VV</v>
      </c>
      <c r="B110" s="1" t="str">
        <f>IF(PLANEJAMENTO!B110="","",PLANEJAMENTO!B110)</f>
        <v>contel-109</v>
      </c>
      <c r="C110" s="1" t="s">
        <v>604</v>
      </c>
      <c r="D110" s="1" t="s">
        <v>604</v>
      </c>
      <c r="J110" s="1" t="s">
        <v>604</v>
      </c>
      <c r="K110" s="1" t="s">
        <v>604</v>
      </c>
      <c r="S110" s="1" t="str">
        <f ca="1">IFERROR(
IF(
UPPER(TRIM(_xlfn.XLOOKUP(A110,PLANEJAMENTO!A:A,PLANEJAMENTO!T:T)))="🚫CANCELADO",
"x",
""
),
"")</f>
        <v/>
      </c>
      <c r="T110" s="1" t="str">
        <f ca="1">IFERROR(
IF(
UPPER(TRIM(_xlfn.XLOOKUP(B110,PLANEJAMENTO!B:B,PLANEJAMENTO!T:T)))="✅ CONCLUÍDO",
"x",
""
),
"")</f>
        <v/>
      </c>
    </row>
    <row r="111" spans="1:20" x14ac:dyDescent="0.3">
      <c r="A111" s="1" t="str">
        <f>IF(PLANEJAMENTO!A111="","",PLANEJAMENTO!A111)</f>
        <v>CBF003B1</v>
      </c>
      <c r="B111" s="1" t="str">
        <f>IF(PLANEJAMENTO!B111="","",PLANEJAMENTO!B111)</f>
        <v>contel-110</v>
      </c>
      <c r="O111" s="1" t="s">
        <v>604</v>
      </c>
      <c r="S111" s="1" t="str">
        <f ca="1">IFERROR(
IF(
UPPER(TRIM(_xlfn.XLOOKUP(A111,PLANEJAMENTO!A:A,PLANEJAMENTO!T:T)))="🚫CANCELADO",
"x",
""
),
"")</f>
        <v/>
      </c>
      <c r="T111" s="1" t="str">
        <f ca="1">IFERROR(
IF(
UPPER(TRIM(_xlfn.XLOOKUP(B111,PLANEJAMENTO!B:B,PLANEJAMENTO!T:T)))="✅ CONCLUÍDO",
"x",
""
),
"")</f>
        <v/>
      </c>
    </row>
    <row r="112" spans="1:20" x14ac:dyDescent="0.3">
      <c r="A112" s="1" t="str">
        <f>IF(PLANEJAMENTO!A112="","",PLANEJAMENTO!A112)</f>
        <v>CBF004B1</v>
      </c>
      <c r="B112" s="1" t="str">
        <f>IF(PLANEJAMENTO!B112="","",PLANEJAMENTO!B112)</f>
        <v>contel-111</v>
      </c>
      <c r="D112" s="1" t="s">
        <v>604</v>
      </c>
      <c r="L112" s="1" t="s">
        <v>604</v>
      </c>
      <c r="S112" s="1" t="str">
        <f ca="1">IFERROR(
IF(
UPPER(TRIM(_xlfn.XLOOKUP(A112,PLANEJAMENTO!A:A,PLANEJAMENTO!T:T)))="🚫CANCELADO",
"x",
""
),
"")</f>
        <v/>
      </c>
      <c r="T112" s="1" t="str">
        <f ca="1">IFERROR(
IF(
UPPER(TRIM(_xlfn.XLOOKUP(B112,PLANEJAMENTO!B:B,PLANEJAMENTO!T:T)))="✅ CONCLUÍDO",
"x",
""
),
"")</f>
        <v/>
      </c>
    </row>
    <row r="113" spans="1:20" x14ac:dyDescent="0.3">
      <c r="A113" s="1" t="str">
        <f>IF(PLANEJAMENTO!A113="","",PLANEJAMENTO!A113)</f>
        <v>VVL004NX</v>
      </c>
      <c r="B113" s="1" t="str">
        <f>IF(PLANEJAMENTO!B113="","",PLANEJAMENTO!B113)</f>
        <v>contel-112</v>
      </c>
      <c r="D113" s="1" t="s">
        <v>604</v>
      </c>
      <c r="E113" s="1" t="s">
        <v>604</v>
      </c>
      <c r="S113" s="1" t="str">
        <f ca="1">IFERROR(
IF(
UPPER(TRIM(_xlfn.XLOOKUP(A113,PLANEJAMENTO!A:A,PLANEJAMENTO!T:T)))="🚫CANCELADO",
"x",
""
),
"")</f>
        <v/>
      </c>
      <c r="T113" s="1" t="str">
        <f ca="1">IFERROR(
IF(
UPPER(TRIM(_xlfn.XLOOKUP(B113,PLANEJAMENTO!B:B,PLANEJAMENTO!T:T)))="✅ CONCLUÍDO",
"x",
""
),
"")</f>
        <v/>
      </c>
    </row>
    <row r="114" spans="1:20" x14ac:dyDescent="0.3">
      <c r="A114" s="1" t="str">
        <f>IF(PLANEJAMENTO!A114="","",PLANEJAMENTO!A114)</f>
        <v>MZF001B2</v>
      </c>
      <c r="B114" s="1" t="str">
        <f>IF(PLANEJAMENTO!B114="","",PLANEJAMENTO!B114)</f>
        <v>contel-113</v>
      </c>
      <c r="D114" s="1" t="s">
        <v>604</v>
      </c>
      <c r="J114" s="1" t="s">
        <v>604</v>
      </c>
      <c r="N114" s="1" t="s">
        <v>604</v>
      </c>
      <c r="S114" s="1" t="str">
        <f ca="1">IFERROR(
IF(
UPPER(TRIM(_xlfn.XLOOKUP(A114,PLANEJAMENTO!A:A,PLANEJAMENTO!T:T)))="🚫CANCELADO",
"x",
""
),
"")</f>
        <v/>
      </c>
      <c r="T114" s="1" t="str">
        <f ca="1">IFERROR(
IF(
UPPER(TRIM(_xlfn.XLOOKUP(B114,PLANEJAMENTO!B:B,PLANEJAMENTO!T:T)))="✅ CONCLUÍDO",
"x",
""
),
"")</f>
        <v/>
      </c>
    </row>
    <row r="115" spans="1:20" x14ac:dyDescent="0.3">
      <c r="A115" s="1" t="str">
        <f>IF(PLANEJAMENTO!A115="","",PLANEJAMENTO!A115)</f>
        <v>CRC004VV</v>
      </c>
      <c r="B115" s="1" t="str">
        <f>IF(PLANEJAMENTO!B115="","",PLANEJAMENTO!B115)</f>
        <v>contel-114</v>
      </c>
      <c r="D115" s="1" t="s">
        <v>604</v>
      </c>
      <c r="S115" s="1" t="str">
        <f ca="1">IFERROR(
IF(
UPPER(TRIM(_xlfn.XLOOKUP(A115,PLANEJAMENTO!A:A,PLANEJAMENTO!T:T)))="🚫CANCELADO",
"x",
""
),
"")</f>
        <v/>
      </c>
      <c r="T115" s="1" t="str">
        <f ca="1">IFERROR(
IF(
UPPER(TRIM(_xlfn.XLOOKUP(B115,PLANEJAMENTO!B:B,PLANEJAMENTO!T:T)))="✅ CONCLUÍDO",
"x",
""
),
"")</f>
        <v/>
      </c>
    </row>
    <row r="116" spans="1:20" x14ac:dyDescent="0.3">
      <c r="A116" s="1" t="str">
        <f>IF(PLANEJAMENTO!A116="","",PLANEJAMENTO!A116)</f>
        <v>ACZ003T1</v>
      </c>
      <c r="B116" s="1" t="str">
        <f>IF(PLANEJAMENTO!B116="","",PLANEJAMENTO!B116)</f>
        <v>contel-115</v>
      </c>
      <c r="C116" s="1" t="s">
        <v>604</v>
      </c>
      <c r="D116" s="1" t="s">
        <v>604</v>
      </c>
      <c r="E116" s="1" t="s">
        <v>604</v>
      </c>
      <c r="J116" s="1" t="s">
        <v>604</v>
      </c>
      <c r="K116" s="1" t="s">
        <v>604</v>
      </c>
      <c r="N116" s="1" t="s">
        <v>604</v>
      </c>
      <c r="S116" s="1" t="str">
        <f ca="1">IFERROR(
IF(
UPPER(TRIM(_xlfn.XLOOKUP(A116,PLANEJAMENTO!A:A,PLANEJAMENTO!T:T)))="🚫CANCELADO",
"x",
""
),
"")</f>
        <v/>
      </c>
      <c r="T116" s="1" t="str">
        <f ca="1">IFERROR(
IF(
UPPER(TRIM(_xlfn.XLOOKUP(B116,PLANEJAMENTO!B:B,PLANEJAMENTO!T:T)))="✅ CONCLUÍDO",
"x",
""
),
"")</f>
        <v/>
      </c>
    </row>
    <row r="117" spans="1:20" x14ac:dyDescent="0.3">
      <c r="A117" s="1" t="str">
        <f>IF(PLANEJAMENTO!A117="","",PLANEJAMENTO!A117)</f>
        <v>CBF013T2</v>
      </c>
      <c r="B117" s="1" t="str">
        <f>IF(PLANEJAMENTO!B117="","",PLANEJAMENTO!B117)</f>
        <v>contel-116</v>
      </c>
      <c r="D117" s="1" t="s">
        <v>604</v>
      </c>
      <c r="E117" s="1" t="s">
        <v>604</v>
      </c>
      <c r="S117" s="1" t="str">
        <f ca="1">IFERROR(
IF(
UPPER(TRIM(_xlfn.XLOOKUP(A117,PLANEJAMENTO!A:A,PLANEJAMENTO!T:T)))="🚫CANCELADO",
"x",
""
),
"")</f>
        <v/>
      </c>
      <c r="T117" s="1" t="str">
        <f ca="1">IFERROR(
IF(
UPPER(TRIM(_xlfn.XLOOKUP(B117,PLANEJAMENTO!B:B,PLANEJAMENTO!T:T)))="✅ CONCLUÍDO",
"x",
""
),
"")</f>
        <v/>
      </c>
    </row>
    <row r="118" spans="1:20" x14ac:dyDescent="0.3">
      <c r="A118" s="1" t="str">
        <f>IF(PLANEJAMENTO!A118="","",PLANEJAMENTO!A118)</f>
        <v>ETA001B3</v>
      </c>
      <c r="B118" s="1" t="str">
        <f>IF(PLANEJAMENTO!B118="","",PLANEJAMENTO!B118)</f>
        <v>contel-117</v>
      </c>
      <c r="D118" s="1" t="s">
        <v>604</v>
      </c>
      <c r="O118" s="1" t="s">
        <v>604</v>
      </c>
      <c r="S118" s="1" t="str">
        <f ca="1">IFERROR(
IF(
UPPER(TRIM(_xlfn.XLOOKUP(A118,PLANEJAMENTO!A:A,PLANEJAMENTO!T:T)))="🚫CANCELADO",
"x",
""
),
"")</f>
        <v/>
      </c>
      <c r="T118" s="1" t="str">
        <f ca="1">IFERROR(
IF(
UPPER(TRIM(_xlfn.XLOOKUP(B118,PLANEJAMENTO!B:B,PLANEJAMENTO!T:T)))="✅ CONCLUÍDO",
"x",
""
),
"")</f>
        <v/>
      </c>
    </row>
    <row r="119" spans="1:20" x14ac:dyDescent="0.3">
      <c r="A119" s="1" t="str">
        <f>IF(PLANEJAMENTO!A119="","",PLANEJAMENTO!A119)</f>
        <v>FUD001TM</v>
      </c>
      <c r="B119" s="1" t="str">
        <f>IF(PLANEJAMENTO!B119="","",PLANEJAMENTO!B119)</f>
        <v>contel-118</v>
      </c>
      <c r="D119" s="1" t="s">
        <v>604</v>
      </c>
      <c r="E119" s="1" t="s">
        <v>604</v>
      </c>
      <c r="S119" s="1" t="str">
        <f ca="1">IFERROR(
IF(
UPPER(TRIM(_xlfn.XLOOKUP(A119,PLANEJAMENTO!A:A,PLANEJAMENTO!T:T)))="🚫CANCELADO",
"x",
""
),
"")</f>
        <v/>
      </c>
      <c r="T119" s="1" t="str">
        <f ca="1">IFERROR(
IF(
UPPER(TRIM(_xlfn.XLOOKUP(B119,PLANEJAMENTO!B:B,PLANEJAMENTO!T:T)))="✅ CONCLUÍDO",
"x",
""
),
"")</f>
        <v/>
      </c>
    </row>
    <row r="120" spans="1:20" x14ac:dyDescent="0.3">
      <c r="A120" s="1" t="str">
        <f>IF(PLANEJAMENTO!A120="","",PLANEJAMENTO!A120)</f>
        <v>CVL003VV</v>
      </c>
      <c r="B120" s="1" t="str">
        <f>IF(PLANEJAMENTO!B120="","",PLANEJAMENTO!B120)</f>
        <v>contel-119</v>
      </c>
      <c r="L120" s="1" t="s">
        <v>604</v>
      </c>
      <c r="S120" s="1" t="str">
        <f ca="1">IFERROR(
IF(
UPPER(TRIM(_xlfn.XLOOKUP(A120,PLANEJAMENTO!A:A,PLANEJAMENTO!T:T)))="🚫CANCELADO",
"x",
""
),
"")</f>
        <v/>
      </c>
      <c r="T120" s="1" t="str">
        <f ca="1">IFERROR(
IF(
UPPER(TRIM(_xlfn.XLOOKUP(B120,PLANEJAMENTO!B:B,PLANEJAMENTO!T:T)))="✅ CONCLUÍDO",
"x",
""
),
"")</f>
        <v/>
      </c>
    </row>
    <row r="121" spans="1:20" x14ac:dyDescent="0.3">
      <c r="A121" s="1" t="str">
        <f>IF(PLANEJAMENTO!A121="","",PLANEJAMENTO!A121)</f>
        <v>22080028-2</v>
      </c>
      <c r="B121" s="1" t="str">
        <f>IF(PLANEJAMENTO!B121="","",PLANEJAMENTO!B121)</f>
        <v>contel-120</v>
      </c>
      <c r="E121" s="1" t="s">
        <v>604</v>
      </c>
      <c r="K121" s="1" t="s">
        <v>604</v>
      </c>
      <c r="S121" s="1" t="str">
        <f ca="1">IFERROR(
IF(
UPPER(TRIM(_xlfn.XLOOKUP(A121,PLANEJAMENTO!A:A,PLANEJAMENTO!T:T)))="🚫CANCELADO",
"x",
""
),
"")</f>
        <v/>
      </c>
      <c r="T121" s="1" t="str">
        <f ca="1">IFERROR(
IF(
UPPER(TRIM(_xlfn.XLOOKUP(B121,PLANEJAMENTO!B:B,PLANEJAMENTO!T:T)))="✅ CONCLUÍDO",
"x",
""
),
"")</f>
        <v/>
      </c>
    </row>
    <row r="122" spans="1:20" x14ac:dyDescent="0.3">
      <c r="A122" s="1" t="str">
        <f>IF(PLANEJAMENTO!A122="","",PLANEJAMENTO!A122)</f>
        <v>NEO JMA</v>
      </c>
      <c r="B122" s="1" t="str">
        <f>IF(PLANEJAMENTO!B122="","",PLANEJAMENTO!B122)</f>
        <v>contel-121</v>
      </c>
      <c r="H122" s="1" t="s">
        <v>604</v>
      </c>
      <c r="S122" s="1" t="str">
        <f>IFERROR(
IF(
UPPER(TRIM(_xlfn.XLOOKUP(A122,PLANEJAMENTO!A:A,PLANEJAMENTO!T:T)))="🚫CANCELADO",
"x",
""
),
"")</f>
        <v/>
      </c>
      <c r="T122" s="1" t="str">
        <f>IFERROR(
IF(
UPPER(TRIM(_xlfn.XLOOKUP(B122,PLANEJAMENTO!B:B,PLANEJAMENTO!T:T)))="✅ CONCLUÍDO",
"x",
""
),
"")</f>
        <v/>
      </c>
    </row>
    <row r="123" spans="1:20" x14ac:dyDescent="0.3">
      <c r="A123" s="1" t="str">
        <f>IF(PLANEJAMENTO!A123="","",PLANEJAMENTO!A123)</f>
        <v>NEO SUP</v>
      </c>
      <c r="B123" s="1" t="str">
        <f>IF(PLANEJAMENTO!B123="","",PLANEJAMENTO!B123)</f>
        <v>contel-122</v>
      </c>
      <c r="H123" s="1" t="s">
        <v>604</v>
      </c>
      <c r="S123" s="1" t="str">
        <f>IFERROR(
IF(
UPPER(TRIM(_xlfn.XLOOKUP(A123,PLANEJAMENTO!A:A,PLANEJAMENTO!T:T)))="🚫CANCELADO",
"x",
""
),
"")</f>
        <v/>
      </c>
      <c r="T123" s="1" t="str">
        <f>IFERROR(
IF(
UPPER(TRIM(_xlfn.XLOOKUP(B123,PLANEJAMENTO!B:B,PLANEJAMENTO!T:T)))="✅ CONCLUÍDO",
"x",
""
),
"")</f>
        <v/>
      </c>
    </row>
    <row r="124" spans="1:20" x14ac:dyDescent="0.3">
      <c r="A124" s="1" t="str">
        <f>IF(PLANEJAMENTO!A124="","",PLANEJAMENTO!A124)</f>
        <v>NEO GUT</v>
      </c>
      <c r="B124" s="1" t="str">
        <f>IF(PLANEJAMENTO!B124="","",PLANEJAMENTO!B124)</f>
        <v>contel-123</v>
      </c>
      <c r="H124" s="1" t="s">
        <v>604</v>
      </c>
      <c r="S124" s="1" t="str">
        <f>IFERROR(
IF(
UPPER(TRIM(_xlfn.XLOOKUP(A124,PLANEJAMENTO!A:A,PLANEJAMENTO!T:T)))="🚫CANCELADO",
"x",
""
),
"")</f>
        <v/>
      </c>
      <c r="T124" s="1" t="str">
        <f>IFERROR(
IF(
UPPER(TRIM(_xlfn.XLOOKUP(B124,PLANEJAMENTO!B:B,PLANEJAMENTO!T:T)))="✅ CONCLUÍDO",
"x",
""
),
"")</f>
        <v/>
      </c>
    </row>
    <row r="125" spans="1:20" x14ac:dyDescent="0.3">
      <c r="A125" s="1" t="str">
        <f>IF(PLANEJAMENTO!A125="","",PLANEJAMENTO!A125)</f>
        <v>NEO REP ZBL</v>
      </c>
      <c r="B125" s="1" t="str">
        <f>IF(PLANEJAMENTO!B125="","",PLANEJAMENTO!B125)</f>
        <v>contel-124</v>
      </c>
      <c r="H125" s="1" t="s">
        <v>604</v>
      </c>
      <c r="S125" s="1" t="str">
        <f>IFERROR(
IF(
UPPER(TRIM(_xlfn.XLOOKUP(A125,PLANEJAMENTO!A:A,PLANEJAMENTO!T:T)))="🚫CANCELADO",
"x",
""
),
"")</f>
        <v/>
      </c>
      <c r="T125" s="1" t="str">
        <f>IFERROR(
IF(
UPPER(TRIM(_xlfn.XLOOKUP(B125,PLANEJAMENTO!B:B,PLANEJAMENTO!T:T)))="✅ CONCLUÍDO",
"x",
""
),
"")</f>
        <v/>
      </c>
    </row>
    <row r="126" spans="1:20" x14ac:dyDescent="0.3">
      <c r="A126" s="1" t="str">
        <f>IF(PLANEJAMENTO!A126="","",PLANEJAMENTO!A126)</f>
        <v>NEO SED</v>
      </c>
      <c r="B126" s="1" t="str">
        <f>IF(PLANEJAMENTO!B126="","",PLANEJAMENTO!B126)</f>
        <v>contel-125</v>
      </c>
      <c r="H126" s="1" t="s">
        <v>604</v>
      </c>
      <c r="S126" s="1" t="str">
        <f>IFERROR(
IF(
UPPER(TRIM(_xlfn.XLOOKUP(A126,PLANEJAMENTO!A:A,PLANEJAMENTO!T:T)))="🚫CANCELADO",
"x",
""
),
"")</f>
        <v/>
      </c>
      <c r="T126" s="1" t="str">
        <f>IFERROR(
IF(
UPPER(TRIM(_xlfn.XLOOKUP(B126,PLANEJAMENTO!B:B,PLANEJAMENTO!T:T)))="✅ CONCLUÍDO",
"x",
""
),
"")</f>
        <v/>
      </c>
    </row>
    <row r="127" spans="1:20" x14ac:dyDescent="0.3">
      <c r="A127" s="1" t="str">
        <f>IF(PLANEJAMENTO!A127="","",PLANEJAMENTO!A127)</f>
        <v>NEO BRN</v>
      </c>
      <c r="B127" s="1" t="str">
        <f>IF(PLANEJAMENTO!B127="","",PLANEJAMENTO!B127)</f>
        <v>contel-126</v>
      </c>
      <c r="H127" s="1" t="s">
        <v>604</v>
      </c>
      <c r="S127" s="1" t="str">
        <f>IFERROR(
IF(
UPPER(TRIM(_xlfn.XLOOKUP(A127,PLANEJAMENTO!A:A,PLANEJAMENTO!T:T)))="🚫CANCELADO",
"x",
""
),
"")</f>
        <v/>
      </c>
      <c r="T127" s="1" t="str">
        <f>IFERROR(
IF(
UPPER(TRIM(_xlfn.XLOOKUP(B127,PLANEJAMENTO!B:B,PLANEJAMENTO!T:T)))="✅ CONCLUÍDO",
"x",
""
),
"")</f>
        <v/>
      </c>
    </row>
    <row r="128" spans="1:20" x14ac:dyDescent="0.3">
      <c r="A128" s="1" t="str">
        <f>IF(PLANEJAMENTO!A128="","",PLANEJAMENTO!A128)</f>
        <v>NEO IRC</v>
      </c>
      <c r="B128" s="1" t="str">
        <f>IF(PLANEJAMENTO!B128="","",PLANEJAMENTO!B128)</f>
        <v>contel-127</v>
      </c>
      <c r="H128" s="1" t="s">
        <v>604</v>
      </c>
      <c r="S128" s="1" t="str">
        <f>IFERROR(
IF(
UPPER(TRIM(_xlfn.XLOOKUP(A128,PLANEJAMENTO!A:A,PLANEJAMENTO!T:T)))="🚫CANCELADO",
"x",
""
),
"")</f>
        <v/>
      </c>
      <c r="T128" s="1" t="str">
        <f>IFERROR(
IF(
UPPER(TRIM(_xlfn.XLOOKUP(B128,PLANEJAMENTO!B:B,PLANEJAMENTO!T:T)))="✅ CONCLUÍDO",
"x",
""
),
"")</f>
        <v/>
      </c>
    </row>
    <row r="129" spans="1:20" x14ac:dyDescent="0.3">
      <c r="A129" s="1" t="str">
        <f>IF(PLANEJAMENTO!A129="","",PLANEJAMENTO!A129)</f>
        <v>NEO ANC</v>
      </c>
      <c r="B129" s="1" t="str">
        <f>IF(PLANEJAMENTO!B129="","",PLANEJAMENTO!B129)</f>
        <v>contel-128</v>
      </c>
      <c r="H129" s="1" t="s">
        <v>604</v>
      </c>
      <c r="S129" s="1" t="str">
        <f>IFERROR(
IF(
UPPER(TRIM(_xlfn.XLOOKUP(A129,PLANEJAMENTO!A:A,PLANEJAMENTO!T:T)))="🚫CANCELADO",
"x",
""
),
"")</f>
        <v/>
      </c>
      <c r="T129" s="1" t="str">
        <f>IFERROR(
IF(
UPPER(TRIM(_xlfn.XLOOKUP(B129,PLANEJAMENTO!B:B,PLANEJAMENTO!T:T)))="✅ CONCLUÍDO",
"x",
""
),
"")</f>
        <v/>
      </c>
    </row>
    <row r="130" spans="1:20" x14ac:dyDescent="0.3">
      <c r="A130" s="1" t="str">
        <f>IF(PLANEJAMENTO!A130="","",PLANEJAMENTO!A130)</f>
        <v>NEO BRB</v>
      </c>
      <c r="B130" s="1" t="str">
        <f>IF(PLANEJAMENTO!B130="","",PLANEJAMENTO!B130)</f>
        <v>contel-129</v>
      </c>
      <c r="H130" s="1" t="s">
        <v>604</v>
      </c>
      <c r="S130" s="1" t="str">
        <f>IFERROR(
IF(
UPPER(TRIM(_xlfn.XLOOKUP(A130,PLANEJAMENTO!A:A,PLANEJAMENTO!T:T)))="🚫CANCELADO",
"x",
""
),
"")</f>
        <v/>
      </c>
      <c r="T130" s="1" t="str">
        <f>IFERROR(
IF(
UPPER(TRIM(_xlfn.XLOOKUP(B130,PLANEJAMENTO!B:B,PLANEJAMENTO!T:T)))="✅ CONCLUÍDO",
"x",
""
),
"")</f>
        <v/>
      </c>
    </row>
    <row r="131" spans="1:20" x14ac:dyDescent="0.3">
      <c r="A131" s="1" t="str">
        <f>IF(PLANEJAMENTO!A131="","",PLANEJAMENTO!A131)</f>
        <v>MAPLN001</v>
      </c>
      <c r="B131" s="1" t="str">
        <f>IF(PLANEJAMENTO!B131="","",PLANEJAMENTO!B131)</f>
        <v>contel-130</v>
      </c>
      <c r="F131" s="1" t="s">
        <v>604</v>
      </c>
      <c r="G131" s="1" t="s">
        <v>604</v>
      </c>
      <c r="S131" s="1" t="str">
        <f ca="1">IFERROR(
IF(
UPPER(TRIM(_xlfn.XLOOKUP(A131,PLANEJAMENTO!A:A,PLANEJAMENTO!T:T)))="🚫CANCELADO",
"x",
""
),
"")</f>
        <v/>
      </c>
      <c r="T131" s="1" t="str">
        <f ca="1">IFERROR(
IF(
UPPER(TRIM(_xlfn.XLOOKUP(B131,PLANEJAMENTO!B:B,PLANEJAMENTO!T:T)))="✅ CONCLUÍDO",
"x",
""
),
"")</f>
        <v/>
      </c>
    </row>
    <row r="132" spans="1:20" x14ac:dyDescent="0.3">
      <c r="A132" s="1" t="str">
        <f>IF(PLANEJAMENTO!A132="","",PLANEJAMENTO!A132)</f>
        <v>SPNDT007</v>
      </c>
      <c r="B132" s="1" t="str">
        <f>IF(PLANEJAMENTO!B132="","",PLANEJAMENTO!B132)</f>
        <v>contel-131</v>
      </c>
      <c r="F132" s="1" t="s">
        <v>604</v>
      </c>
      <c r="G132" s="1" t="s">
        <v>604</v>
      </c>
      <c r="S132" s="1" t="str">
        <f ca="1">IFERROR(
IF(
UPPER(TRIM(_xlfn.XLOOKUP(A132,PLANEJAMENTO!A:A,PLANEJAMENTO!T:T)))="🚫CANCELADO",
"x",
""
),
"")</f>
        <v/>
      </c>
      <c r="T132" s="1" t="str">
        <f ca="1">IFERROR(
IF(
UPPER(TRIM(_xlfn.XLOOKUP(B132,PLANEJAMENTO!B:B,PLANEJAMENTO!T:T)))="✅ CONCLUÍDO",
"x",
""
),
"")</f>
        <v/>
      </c>
    </row>
    <row r="133" spans="1:20" x14ac:dyDescent="0.3">
      <c r="A133" s="1" t="str">
        <f>IF(PLANEJAMENTO!A133="","",PLANEJAMENTO!A133)</f>
        <v>BR66801-A</v>
      </c>
      <c r="B133" s="1" t="str">
        <f>IF(PLANEJAMENTO!B133="","",PLANEJAMENTO!B133)</f>
        <v>contel-132</v>
      </c>
      <c r="O133" s="1" t="s">
        <v>604</v>
      </c>
      <c r="S133" s="1" t="str">
        <f ca="1">IFERROR(
IF(
UPPER(TRIM(_xlfn.XLOOKUP(A133,PLANEJAMENTO!A:A,PLANEJAMENTO!T:T)))="🚫CANCELADO",
"x",
""
),
"")</f>
        <v/>
      </c>
      <c r="T133" s="1" t="str">
        <f ca="1">IFERROR(
IF(
UPPER(TRIM(_xlfn.XLOOKUP(B133,PLANEJAMENTO!B:B,PLANEJAMENTO!T:T)))="✅ CONCLUÍDO",
"x",
""
),
"")</f>
        <v/>
      </c>
    </row>
    <row r="134" spans="1:20" x14ac:dyDescent="0.3">
      <c r="A134" s="1" t="str">
        <f>IF(PLANEJAMENTO!A134="","",PLANEJAMENTO!A134)</f>
        <v>BR49629-A</v>
      </c>
      <c r="B134" s="1" t="str">
        <f>IF(PLANEJAMENTO!B134="","",PLANEJAMENTO!B134)</f>
        <v>contel-133</v>
      </c>
      <c r="K134" s="1" t="s">
        <v>604</v>
      </c>
      <c r="S134" s="1" t="str">
        <f ca="1">IFERROR(
IF(
UPPER(TRIM(_xlfn.XLOOKUP(A134,PLANEJAMENTO!A:A,PLANEJAMENTO!T:T)))="🚫CANCELADO",
"x",
""
),
"")</f>
        <v/>
      </c>
      <c r="T134" s="1" t="str">
        <f ca="1">IFERROR(
IF(
UPPER(TRIM(_xlfn.XLOOKUP(B134,PLANEJAMENTO!B:B,PLANEJAMENTO!T:T)))="✅ CONCLUÍDO",
"x",
""
),
"")</f>
        <v/>
      </c>
    </row>
    <row r="135" spans="1:20" x14ac:dyDescent="0.3">
      <c r="A135" s="1" t="str">
        <f>IF(PLANEJAMENTO!A135="","",PLANEJAMENTO!A135)</f>
        <v>BR51120-A</v>
      </c>
      <c r="B135" s="1" t="str">
        <f>IF(PLANEJAMENTO!B135="","",PLANEJAMENTO!B135)</f>
        <v>contel-134</v>
      </c>
      <c r="F135" s="1" t="s">
        <v>604</v>
      </c>
      <c r="S135" s="1" t="str">
        <f ca="1">IFERROR(
IF(
UPPER(TRIM(_xlfn.XLOOKUP(A135,PLANEJAMENTO!A:A,PLANEJAMENTO!T:T)))="🚫CANCELADO",
"x",
""
),
"")</f>
        <v/>
      </c>
      <c r="T135" s="1" t="str">
        <f ca="1">IFERROR(
IF(
UPPER(TRIM(_xlfn.XLOOKUP(B135,PLANEJAMENTO!B:B,PLANEJAMENTO!T:T)))="✅ CONCLUÍDO",
"x",
""
),
"")</f>
        <v/>
      </c>
    </row>
    <row r="136" spans="1:20" x14ac:dyDescent="0.3">
      <c r="A136" s="1" t="str">
        <f>IF(PLANEJAMENTO!A136="","",PLANEJAMENTO!A136)</f>
        <v>MSNVN002</v>
      </c>
      <c r="B136" s="1" t="str">
        <f>IF(PLANEJAMENTO!B136="","",PLANEJAMENTO!B136)</f>
        <v>contel-135</v>
      </c>
      <c r="G136" s="1" t="s">
        <v>604</v>
      </c>
      <c r="S136" s="1" t="str">
        <f ca="1">IFERROR(
IF(
UPPER(TRIM(_xlfn.XLOOKUP(A136,PLANEJAMENTO!A:A,PLANEJAMENTO!T:T)))="🚫CANCELADO",
"x",
""
),
"")</f>
        <v/>
      </c>
      <c r="T136" s="1" t="str">
        <f ca="1">IFERROR(
IF(
UPPER(TRIM(_xlfn.XLOOKUP(B136,PLANEJAMENTO!B:B,PLANEJAMENTO!T:T)))="✅ CONCLUÍDO",
"x",
""
),
"")</f>
        <v/>
      </c>
    </row>
    <row r="137" spans="1:20" x14ac:dyDescent="0.3">
      <c r="A137" s="1" t="str">
        <f>IF(PLANEJAMENTO!A137="","",PLANEJAMENTO!A137)</f>
        <v>SP4-CDA-001</v>
      </c>
      <c r="B137" s="1" t="str">
        <f>IF(PLANEJAMENTO!B137="","",PLANEJAMENTO!B137)</f>
        <v>contel-136</v>
      </c>
      <c r="G137" s="1" t="s">
        <v>604</v>
      </c>
      <c r="S137" s="1" t="str">
        <f ca="1">IFERROR(
IF(
UPPER(TRIM(_xlfn.XLOOKUP(A137,PLANEJAMENTO!A:A,PLANEJAMENTO!T:T)))="🚫CANCELADO",
"x",
""
),
"")</f>
        <v/>
      </c>
      <c r="T137" s="1" t="str">
        <f ca="1">IFERROR(
IF(
UPPER(TRIM(_xlfn.XLOOKUP(B137,PLANEJAMENTO!B:B,PLANEJAMENTO!T:T)))="✅ CONCLUÍDO",
"x",
""
),
"")</f>
        <v/>
      </c>
    </row>
    <row r="138" spans="1:20" x14ac:dyDescent="0.3">
      <c r="A138" s="1" t="str">
        <f>IF(PLANEJAMENTO!A138="","",PLANEJAMENTO!A138)</f>
        <v>DVE001VV</v>
      </c>
      <c r="B138" s="1" t="str">
        <f>IF(PLANEJAMENTO!B138="","",PLANEJAMENTO!B138)</f>
        <v>contel-137</v>
      </c>
      <c r="O138" s="1" t="s">
        <v>604</v>
      </c>
      <c r="S138" s="1" t="str">
        <f ca="1">IFERROR(
IF(
UPPER(TRIM(_xlfn.XLOOKUP(A138,PLANEJAMENTO!A:A,PLANEJAMENTO!T:T)))="🚫CANCELADO",
"x",
""
),
"")</f>
        <v/>
      </c>
      <c r="T138" s="1" t="str">
        <f ca="1">IFERROR(
IF(
UPPER(TRIM(_xlfn.XLOOKUP(B138,PLANEJAMENTO!B:B,PLANEJAMENTO!T:T)))="✅ CONCLUÍDO",
"x",
""
),
"")</f>
        <v/>
      </c>
    </row>
    <row r="139" spans="1:20" x14ac:dyDescent="0.3">
      <c r="A139" s="1" t="str">
        <f>IF(PLANEJAMENTO!A139="","",PLANEJAMENTO!A139)</f>
        <v>BR-MG-BHE-01565</v>
      </c>
      <c r="B139" s="1" t="str">
        <f>IF(PLANEJAMENTO!B139="","",PLANEJAMENTO!B139)</f>
        <v>contel-138</v>
      </c>
      <c r="O139" s="1" t="s">
        <v>604</v>
      </c>
      <c r="S139" s="1" t="str">
        <f ca="1">IFERROR(
IF(
UPPER(TRIM(_xlfn.XLOOKUP(A139,PLANEJAMENTO!A:A,PLANEJAMENTO!T:T)))="🚫CANCELADO",
"x",
""
),
"")</f>
        <v/>
      </c>
      <c r="T139" s="1" t="str">
        <f ca="1">IFERROR(
IF(
UPPER(TRIM(_xlfn.XLOOKUP(B139,PLANEJAMENTO!B:B,PLANEJAMENTO!T:T)))="✅ CONCLUÍDO",
"x",
""
),
"")</f>
        <v/>
      </c>
    </row>
    <row r="140" spans="1:20" x14ac:dyDescent="0.3">
      <c r="A140" s="1" t="str">
        <f>IF(PLANEJAMENTO!A140="","",PLANEJAMENTO!A140)</f>
        <v>BR-PR-LDB-00383</v>
      </c>
      <c r="B140" s="1" t="str">
        <f>IF(PLANEJAMENTO!B140="","",PLANEJAMENTO!B140)</f>
        <v>contel-139</v>
      </c>
      <c r="O140" s="1" t="s">
        <v>604</v>
      </c>
      <c r="S140" s="1" t="str">
        <f ca="1">IFERROR(
IF(
UPPER(TRIM(_xlfn.XLOOKUP(A140,PLANEJAMENTO!A:A,PLANEJAMENTO!T:T)))="🚫CANCELADO",
"x",
""
),
"")</f>
        <v/>
      </c>
      <c r="T140" s="1" t="str">
        <f ca="1">IFERROR(
IF(
UPPER(TRIM(_xlfn.XLOOKUP(B140,PLANEJAMENTO!B:B,PLANEJAMENTO!T:T)))="✅ CONCLUÍDO",
"x",
""
),
"")</f>
        <v/>
      </c>
    </row>
    <row r="141" spans="1:20" x14ac:dyDescent="0.3">
      <c r="A141" s="1" t="str">
        <f>IF(PLANEJAMENTO!A141="","",PLANEJAMENTO!A141)</f>
        <v>BR-RJ-NIG-01608</v>
      </c>
      <c r="B141" s="1" t="str">
        <f>IF(PLANEJAMENTO!B141="","",PLANEJAMENTO!B141)</f>
        <v>contel-140</v>
      </c>
      <c r="O141" s="1" t="s">
        <v>604</v>
      </c>
      <c r="S141" s="1" t="str">
        <f ca="1">IFERROR(
IF(
UPPER(TRIM(_xlfn.XLOOKUP(A141,PLANEJAMENTO!A:A,PLANEJAMENTO!T:T)))="🚫CANCELADO",
"x",
""
),
"")</f>
        <v/>
      </c>
      <c r="T141" s="1" t="str">
        <f ca="1">IFERROR(
IF(
UPPER(TRIM(_xlfn.XLOOKUP(B141,PLANEJAMENTO!B:B,PLANEJAMENTO!T:T)))="✅ CONCLUÍDO",
"x",
""
),
"")</f>
        <v/>
      </c>
    </row>
    <row r="142" spans="1:20" x14ac:dyDescent="0.3">
      <c r="A142" s="1" t="str">
        <f>IF(PLANEJAMENTO!A142="","",PLANEJAMENTO!A142)</f>
        <v>BR-SC-SQX-01654</v>
      </c>
      <c r="B142" s="1" t="str">
        <f>IF(PLANEJAMENTO!B142="","",PLANEJAMENTO!B142)</f>
        <v>contel-141</v>
      </c>
      <c r="O142" s="1" t="s">
        <v>604</v>
      </c>
      <c r="S142" s="1" t="str">
        <f ca="1">IFERROR(
IF(
UPPER(TRIM(_xlfn.XLOOKUP(A142,PLANEJAMENTO!A:A,PLANEJAMENTO!T:T)))="🚫CANCELADO",
"x",
""
),
"")</f>
        <v/>
      </c>
      <c r="T142" s="1" t="str">
        <f ca="1">IFERROR(
IF(
UPPER(TRIM(_xlfn.XLOOKUP(B142,PLANEJAMENTO!B:B,PLANEJAMENTO!T:T)))="✅ CONCLUÍDO",
"x",
""
),
"")</f>
        <v/>
      </c>
    </row>
    <row r="143" spans="1:20" x14ac:dyDescent="0.3">
      <c r="A143" s="1" t="str">
        <f>IF(PLANEJAMENTO!A143="","",PLANEJAMENTO!A143)</f>
        <v>BR-SP-SPO-01848</v>
      </c>
      <c r="B143" s="1" t="str">
        <f>IF(PLANEJAMENTO!B143="","",PLANEJAMENTO!B143)</f>
        <v>contel-142</v>
      </c>
      <c r="O143" s="1" t="s">
        <v>604</v>
      </c>
      <c r="S143" s="1" t="str">
        <f ca="1">IFERROR(
IF(
UPPER(TRIM(_xlfn.XLOOKUP(A143,PLANEJAMENTO!A:A,PLANEJAMENTO!T:T)))="🚫CANCELADO",
"x",
""
),
"")</f>
        <v/>
      </c>
      <c r="T143" s="1" t="str">
        <f ca="1">IFERROR(
IF(
UPPER(TRIM(_xlfn.XLOOKUP(B143,PLANEJAMENTO!B:B,PLANEJAMENTO!T:T)))="✅ CONCLUÍDO",
"x",
""
),
"")</f>
        <v/>
      </c>
    </row>
    <row r="144" spans="1:20" x14ac:dyDescent="0.3">
      <c r="A144" s="1" t="str">
        <f>IF(PLANEJAMENTO!A144="","",PLANEJAMENTO!A144)</f>
        <v>BR-SP-TBS-00289</v>
      </c>
      <c r="B144" s="1" t="str">
        <f>IF(PLANEJAMENTO!B144="","",PLANEJAMENTO!B144)</f>
        <v>contel-143</v>
      </c>
      <c r="O144" s="1" t="s">
        <v>604</v>
      </c>
      <c r="S144" s="1" t="str">
        <f ca="1">IFERROR(
IF(
UPPER(TRIM(_xlfn.XLOOKUP(A144,PLANEJAMENTO!A:A,PLANEJAMENTO!T:T)))="🚫CANCELADO",
"x",
""
),
"")</f>
        <v/>
      </c>
      <c r="T144" s="1" t="str">
        <f ca="1">IFERROR(
IF(
UPPER(TRIM(_xlfn.XLOOKUP(B144,PLANEJAMENTO!B:B,PLANEJAMENTO!T:T)))="✅ CONCLUÍDO",
"x",
""
),
"")</f>
        <v/>
      </c>
    </row>
    <row r="145" spans="1:20" x14ac:dyDescent="0.3">
      <c r="A145" s="1" t="str">
        <f>IF(PLANEJAMENTO!A145="","",PLANEJAMENTO!A145)</f>
        <v>BR-MG-COG-01032</v>
      </c>
      <c r="B145" s="1" t="str">
        <f>IF(PLANEJAMENTO!B145="","",PLANEJAMENTO!B145)</f>
        <v>contel-144</v>
      </c>
      <c r="O145" s="1" t="s">
        <v>604</v>
      </c>
      <c r="S145" s="1" t="str">
        <f ca="1">IFERROR(
IF(
UPPER(TRIM(_xlfn.XLOOKUP(A145,PLANEJAMENTO!A:A,PLANEJAMENTO!T:T)))="🚫CANCELADO",
"x",
""
),
"")</f>
        <v/>
      </c>
      <c r="T145" s="1" t="str">
        <f ca="1">IFERROR(
IF(
UPPER(TRIM(_xlfn.XLOOKUP(B145,PLANEJAMENTO!B:B,PLANEJAMENTO!T:T)))="✅ CONCLUÍDO",
"x",
""
),
"")</f>
        <v/>
      </c>
    </row>
    <row r="146" spans="1:20" x14ac:dyDescent="0.3">
      <c r="A146" s="1" t="str">
        <f>IF(PLANEJAMENTO!A146="","",PLANEJAMENTO!A146)</f>
        <v>RJO221B1</v>
      </c>
      <c r="B146" s="1" t="str">
        <f>IF(PLANEJAMENTO!B146="","",PLANEJAMENTO!B146)</f>
        <v>contel-145</v>
      </c>
      <c r="L146" s="1" t="s">
        <v>604</v>
      </c>
      <c r="S146" s="1" t="str">
        <f ca="1">IFERROR(
IF(
UPPER(TRIM(_xlfn.XLOOKUP(A146,PLANEJAMENTO!A:A,PLANEJAMENTO!T:T)))="🚫CANCELADO",
"x",
""
),
"")</f>
        <v/>
      </c>
      <c r="T146" s="1" t="str">
        <f ca="1">IFERROR(
IF(
UPPER(TRIM(_xlfn.XLOOKUP(B146,PLANEJAMENTO!B:B,PLANEJAMENTO!T:T)))="✅ CONCLUÍDO",
"x",
""
),
"")</f>
        <v/>
      </c>
    </row>
    <row r="147" spans="1:20" x14ac:dyDescent="0.3">
      <c r="A147" s="1" t="str">
        <f>IF(PLANEJAMENTO!A147="","",PLANEJAMENTO!A147)</f>
        <v>CUB010VV</v>
      </c>
      <c r="B147" s="1" t="str">
        <f>IF(PLANEJAMENTO!B147="","",PLANEJAMENTO!B147)</f>
        <v>contel-146</v>
      </c>
      <c r="L147" s="1" t="s">
        <v>604</v>
      </c>
      <c r="S147" s="1" t="str">
        <f ca="1">IFERROR(
IF(
UPPER(TRIM(_xlfn.XLOOKUP(A147,PLANEJAMENTO!A:A,PLANEJAMENTO!T:T)))="🚫CANCELADO",
"x",
""
),
"")</f>
        <v/>
      </c>
      <c r="T147" s="1" t="str">
        <f ca="1">IFERROR(
IF(
UPPER(TRIM(_xlfn.XLOOKUP(B147,PLANEJAMENTO!B:B,PLANEJAMENTO!T:T)))="✅ CONCLUÍDO",
"x",
""
),
"")</f>
        <v/>
      </c>
    </row>
    <row r="148" spans="1:20" x14ac:dyDescent="0.3">
      <c r="A148" s="1">
        <f>IF(PLANEJAMENTO!A148="","",PLANEJAMENTO!A148)</f>
        <v>61060148</v>
      </c>
      <c r="B148" s="1" t="str">
        <f>IF(PLANEJAMENTO!B148="","",PLANEJAMENTO!B148)</f>
        <v>contel-147</v>
      </c>
      <c r="G148" s="1" t="s">
        <v>604</v>
      </c>
      <c r="S148" s="1" t="str">
        <f ca="1">IFERROR(
IF(
UPPER(TRIM(_xlfn.XLOOKUP(A148,PLANEJAMENTO!A:A,PLANEJAMENTO!T:T)))="🚫CANCELADO",
"x",
""
),
"")</f>
        <v/>
      </c>
      <c r="T148" s="1" t="str">
        <f ca="1">IFERROR(
IF(
UPPER(TRIM(_xlfn.XLOOKUP(B148,PLANEJAMENTO!B:B,PLANEJAMENTO!T:T)))="✅ CONCLUÍDO",
"x",
""
),
"")</f>
        <v/>
      </c>
    </row>
    <row r="149" spans="1:20" x14ac:dyDescent="0.3">
      <c r="A149" s="1" t="str">
        <f>IF(PLANEJAMENTO!A149="","",PLANEJAMENTO!A149)</f>
        <v>PRMGL001</v>
      </c>
      <c r="B149" s="1" t="str">
        <f>IF(PLANEJAMENTO!B149="","",PLANEJAMENTO!B149)</f>
        <v>contel-148</v>
      </c>
      <c r="O149" s="1" t="s">
        <v>604</v>
      </c>
      <c r="S149" s="1" t="str">
        <f ca="1">IFERROR(
IF(
UPPER(TRIM(_xlfn.XLOOKUP(A149,PLANEJAMENTO!A:A,PLANEJAMENTO!T:T)))="🚫CANCELADO",
"x",
""
),
"")</f>
        <v/>
      </c>
      <c r="T149" s="1" t="str">
        <f ca="1">IFERROR(
IF(
UPPER(TRIM(_xlfn.XLOOKUP(B149,PLANEJAMENTO!B:B,PLANEJAMENTO!T:T)))="✅ CONCLUÍDO",
"x",
""
),
"")</f>
        <v/>
      </c>
    </row>
    <row r="150" spans="1:20" x14ac:dyDescent="0.3">
      <c r="A150" s="1" t="str">
        <f>IF(PLANEJAMENTO!A150="","",PLANEJAMENTO!A150)</f>
        <v>MMS002T1</v>
      </c>
      <c r="B150" s="1" t="str">
        <f>IF(PLANEJAMENTO!B150="","",PLANEJAMENTO!B150)</f>
        <v>contel-149</v>
      </c>
      <c r="O150" s="1" t="s">
        <v>604</v>
      </c>
      <c r="S150" s="1" t="str">
        <f ca="1">IFERROR(
IF(
UPPER(TRIM(_xlfn.XLOOKUP(A150,PLANEJAMENTO!A:A,PLANEJAMENTO!T:T)))="🚫CANCELADO",
"x",
""
),
"")</f>
        <v/>
      </c>
      <c r="T150" s="1" t="str">
        <f ca="1">IFERROR(
IF(
UPPER(TRIM(_xlfn.XLOOKUP(B150,PLANEJAMENTO!B:B,PLANEJAMENTO!T:T)))="✅ CONCLUÍDO",
"x",
""
),
"")</f>
        <v/>
      </c>
    </row>
    <row r="151" spans="1:20" x14ac:dyDescent="0.3">
      <c r="A151" s="1">
        <f>IF(PLANEJAMENTO!A151="","",PLANEJAMENTO!A151)</f>
        <v>22080028</v>
      </c>
      <c r="B151" s="1" t="str">
        <f>IF(PLANEJAMENTO!B151="","",PLANEJAMENTO!B151)</f>
        <v>contel-150</v>
      </c>
      <c r="S151" s="1" t="str">
        <f>IFERROR(
IF(
UPPER(TRIM(_xlfn.XLOOKUP(A151,PLANEJAMENTO!A:A,PLANEJAMENTO!T:T)))="🚫CANCELADO",
"x",
""
),
"")</f>
        <v/>
      </c>
      <c r="T151" s="1" t="str">
        <f>IFERROR(
IF(
UPPER(TRIM(_xlfn.XLOOKUP(B151,PLANEJAMENTO!B:B,PLANEJAMENTO!T:T)))="✅ CONCLUÍDO",
"x",
""
),
"")</f>
        <v>x</v>
      </c>
    </row>
    <row r="152" spans="1:20" x14ac:dyDescent="0.3">
      <c r="A152" s="1" t="str">
        <f>IF(PLANEJAMENTO!A152="","",PLANEJAMENTO!A152)</f>
        <v>BAPXD4536</v>
      </c>
      <c r="B152" s="1" t="str">
        <f>IF(PLANEJAMENTO!B152="","",PLANEJAMENTO!B152)</f>
        <v>contel-151</v>
      </c>
      <c r="O152" s="1" t="s">
        <v>604</v>
      </c>
      <c r="S152" s="1" t="str">
        <f ca="1">IFERROR(
IF(
UPPER(TRIM(_xlfn.XLOOKUP(A152,PLANEJAMENTO!A:A,PLANEJAMENTO!T:T)))="🚫CANCELADO",
"x",
""
),
"")</f>
        <v/>
      </c>
      <c r="T152" s="1" t="str">
        <f ca="1">IFERROR(
IF(
UPPER(TRIM(_xlfn.XLOOKUP(B152,PLANEJAMENTO!B:B,PLANEJAMENTO!T:T)))="✅ CONCLUÍDO",
"x",
""
),
"")</f>
        <v/>
      </c>
    </row>
    <row r="153" spans="1:20" x14ac:dyDescent="0.3">
      <c r="A153" s="1" t="str">
        <f>IF(PLANEJAMENTO!A153="","",PLANEJAMENTO!A153)</f>
        <v>VGA001VV</v>
      </c>
      <c r="B153" s="1" t="str">
        <f>IF(PLANEJAMENTO!B153="","",PLANEJAMENTO!B153)</f>
        <v>contel-152</v>
      </c>
      <c r="O153" s="1" t="s">
        <v>604</v>
      </c>
      <c r="S153" s="1" t="str">
        <f ca="1">IFERROR(
IF(
UPPER(TRIM(_xlfn.XLOOKUP(A153,PLANEJAMENTO!A:A,PLANEJAMENTO!T:T)))="🚫CANCELADO",
"x",
""
),
"")</f>
        <v/>
      </c>
      <c r="T153" s="1" t="str">
        <f ca="1">IFERROR(
IF(
UPPER(TRIM(_xlfn.XLOOKUP(B153,PLANEJAMENTO!B:B,PLANEJAMENTO!T:T)))="✅ CONCLUÍDO",
"x",
""
),
"")</f>
        <v/>
      </c>
    </row>
    <row r="154" spans="1:20" x14ac:dyDescent="0.3">
      <c r="A154" s="1" t="str">
        <f>IF(PLANEJAMENTO!A154="","",PLANEJAMENTO!A154)</f>
        <v>JZF002VV</v>
      </c>
      <c r="B154" s="1" t="str">
        <f>IF(PLANEJAMENTO!B154="","",PLANEJAMENTO!B154)</f>
        <v>contel-153</v>
      </c>
      <c r="J154" s="1" t="s">
        <v>604</v>
      </c>
      <c r="K154" s="1" t="s">
        <v>604</v>
      </c>
      <c r="S154" s="1" t="str">
        <f ca="1">IFERROR(
IF(
UPPER(TRIM(_xlfn.XLOOKUP(A154,PLANEJAMENTO!A:A,PLANEJAMENTO!T:T)))="🚫CANCELADO",
"x",
""
),
"")</f>
        <v/>
      </c>
      <c r="T154" s="1" t="str">
        <f ca="1">IFERROR(
IF(
UPPER(TRIM(_xlfn.XLOOKUP(B154,PLANEJAMENTO!B:B,PLANEJAMENTO!T:T)))="✅ CONCLUÍDO",
"x",
""
),
"")</f>
        <v/>
      </c>
    </row>
    <row r="155" spans="1:20" x14ac:dyDescent="0.3">
      <c r="A155" s="1" t="str">
        <f>IF(PLANEJAMENTO!A155="","",PLANEJAMENTO!A155)</f>
        <v>TURVO</v>
      </c>
      <c r="B155" s="1" t="str">
        <f>IF(PLANEJAMENTO!B155="","",PLANEJAMENTO!B155)</f>
        <v>contel-154</v>
      </c>
      <c r="N155" s="1" t="s">
        <v>604</v>
      </c>
      <c r="S155" s="1" t="str">
        <f ca="1">IFERROR(
IF(
UPPER(TRIM(_xlfn.XLOOKUP(A155,PLANEJAMENTO!A:A,PLANEJAMENTO!T:T)))="🚫CANCELADO",
"x",
""
),
"")</f>
        <v/>
      </c>
      <c r="T155" s="1" t="str">
        <f ca="1">IFERROR(
IF(
UPPER(TRIM(_xlfn.XLOOKUP(B155,PLANEJAMENTO!B:B,PLANEJAMENTO!T:T)))="✅ CONCLUÍDO",
"x",
""
),
"")</f>
        <v/>
      </c>
    </row>
    <row r="156" spans="1:20" x14ac:dyDescent="0.3">
      <c r="A156" s="1" t="str">
        <f>IF(PLANEJAMENTO!A156="","",PLANEJAMENTO!A156)</f>
        <v>UMB001TM</v>
      </c>
      <c r="B156" s="1" t="str">
        <f>IF(PLANEJAMENTO!B156="","",PLANEJAMENTO!B156)</f>
        <v>contel-155</v>
      </c>
      <c r="L156" s="1" t="s">
        <v>604</v>
      </c>
      <c r="S156" s="1" t="str">
        <f ca="1">IFERROR(
IF(
UPPER(TRIM(_xlfn.XLOOKUP(A156,PLANEJAMENTO!A:A,PLANEJAMENTO!T:T)))="🚫CANCELADO",
"x",
""
),
"")</f>
        <v/>
      </c>
      <c r="T156" s="1" t="str">
        <f ca="1">IFERROR(
IF(
UPPER(TRIM(_xlfn.XLOOKUP(B156,PLANEJAMENTO!B:B,PLANEJAMENTO!T:T)))="✅ CONCLUÍDO",
"x",
""
),
"")</f>
        <v/>
      </c>
    </row>
    <row r="157" spans="1:20" x14ac:dyDescent="0.3">
      <c r="A157" s="1" t="str">
        <f>IF(PLANEJAMENTO!A157="","",PLANEJAMENTO!A157)</f>
        <v>ABZ002AT</v>
      </c>
      <c r="B157" s="1" t="str">
        <f>IF(PLANEJAMENTO!B157="","",PLANEJAMENTO!B157)</f>
        <v>contel-156</v>
      </c>
      <c r="L157" s="1" t="s">
        <v>604</v>
      </c>
      <c r="S157" s="1" t="str">
        <f ca="1">IFERROR(
IF(
UPPER(TRIM(_xlfn.XLOOKUP(A157,PLANEJAMENTO!A:A,PLANEJAMENTO!T:T)))="🚫CANCELADO",
"x",
""
),
"")</f>
        <v/>
      </c>
      <c r="T157" s="1" t="str">
        <f ca="1">IFERROR(
IF(
UPPER(TRIM(_xlfn.XLOOKUP(B157,PLANEJAMENTO!B:B,PLANEJAMENTO!T:T)))="✅ CONCLUÍDO",
"x",
""
),
"")</f>
        <v/>
      </c>
    </row>
    <row r="158" spans="1:20" x14ac:dyDescent="0.3">
      <c r="A158" s="1" t="str">
        <f>IF(PLANEJAMENTO!A158="","",PLANEJAMENTO!A158)</f>
        <v>CGY005TM</v>
      </c>
      <c r="B158" s="1" t="str">
        <f>IF(PLANEJAMENTO!B158="","",PLANEJAMENTO!B158)</f>
        <v>contel-157</v>
      </c>
      <c r="L158" s="1" t="s">
        <v>604</v>
      </c>
      <c r="S158" s="1" t="str">
        <f ca="1">IFERROR(
IF(
UPPER(TRIM(_xlfn.XLOOKUP(A158,PLANEJAMENTO!A:A,PLANEJAMENTO!T:T)))="🚫CANCELADO",
"x",
""
),
"")</f>
        <v/>
      </c>
      <c r="T158" s="1" t="str">
        <f ca="1">IFERROR(
IF(
UPPER(TRIM(_xlfn.XLOOKUP(B158,PLANEJAMENTO!B:B,PLANEJAMENTO!T:T)))="✅ CONCLUÍDO",
"x",
""
),
"")</f>
        <v/>
      </c>
    </row>
    <row r="159" spans="1:20" x14ac:dyDescent="0.3">
      <c r="A159" s="1" t="str">
        <f>IF(PLANEJAMENTO!A159="","",PLANEJAMENTO!A159)</f>
        <v>BR49615-A</v>
      </c>
      <c r="B159" s="1" t="str">
        <f>IF(PLANEJAMENTO!B159="","",PLANEJAMENTO!B159)</f>
        <v>contel-158</v>
      </c>
      <c r="K159" s="1" t="s">
        <v>604</v>
      </c>
      <c r="S159" s="1" t="str">
        <f ca="1">IFERROR(
IF(
UPPER(TRIM(_xlfn.XLOOKUP(A159,PLANEJAMENTO!A:A,PLANEJAMENTO!T:T)))="🚫CANCELADO",
"x",
""
),
"")</f>
        <v/>
      </c>
      <c r="T159" s="1" t="str">
        <f ca="1">IFERROR(
IF(
UPPER(TRIM(_xlfn.XLOOKUP(B159,PLANEJAMENTO!B:B,PLANEJAMENTO!T:T)))="✅ CONCLUÍDO",
"x",
""
),
"")</f>
        <v/>
      </c>
    </row>
    <row r="160" spans="1:20" x14ac:dyDescent="0.3">
      <c r="A160" s="1" t="str">
        <f>IF(PLANEJAMENTO!A160="","",PLANEJAMENTO!A160)</f>
        <v>BAPRT002</v>
      </c>
      <c r="B160" s="1" t="str">
        <f>IF(PLANEJAMENTO!B160="","",PLANEJAMENTO!B160)</f>
        <v>contel-159</v>
      </c>
      <c r="C160" s="1" t="s">
        <v>604</v>
      </c>
      <c r="D160" s="1" t="s">
        <v>604</v>
      </c>
      <c r="S160" s="1" t="str">
        <f ca="1">IFERROR(
IF(
UPPER(TRIM(_xlfn.XLOOKUP(A160,PLANEJAMENTO!A:A,PLANEJAMENTO!T:T)))="🚫CANCELADO",
"x",
""
),
"")</f>
        <v/>
      </c>
      <c r="T160" s="1" t="str">
        <f ca="1">IFERROR(
IF(
UPPER(TRIM(_xlfn.XLOOKUP(B160,PLANEJAMENTO!B:B,PLANEJAMENTO!T:T)))="✅ CONCLUÍDO",
"x",
""
),
"")</f>
        <v/>
      </c>
    </row>
    <row r="161" spans="1:20" x14ac:dyDescent="0.3">
      <c r="A161" s="1" t="str">
        <f>IF(PLANEJAMENTO!A161="","",PLANEJAMENTO!A161)</f>
        <v>GOGNAN2</v>
      </c>
      <c r="B161" s="1" t="str">
        <f>IF(PLANEJAMENTO!B161="","",PLANEJAMENTO!B161)</f>
        <v>contel-160</v>
      </c>
      <c r="D161" s="1" t="s">
        <v>604</v>
      </c>
      <c r="G161" s="1" t="s">
        <v>604</v>
      </c>
      <c r="S161" s="1" t="str">
        <f ca="1">IFERROR(
IF(
UPPER(TRIM(_xlfn.XLOOKUP(A161,PLANEJAMENTO!A:A,PLANEJAMENTO!T:T)))="🚫CANCELADO",
"x",
""
),
"")</f>
        <v/>
      </c>
      <c r="T161" s="1" t="str">
        <f ca="1">IFERROR(
IF(
UPPER(TRIM(_xlfn.XLOOKUP(B161,PLANEJAMENTO!B:B,PLANEJAMENTO!T:T)))="✅ CONCLUÍDO",
"x",
""
),
"")</f>
        <v/>
      </c>
    </row>
    <row r="162" spans="1:20" x14ac:dyDescent="0.3">
      <c r="A162" s="1" t="str">
        <f>IF(PLANEJAMENTO!A162="","",PLANEJAMENTO!A162)</f>
        <v>GOGNAN1</v>
      </c>
      <c r="B162" s="1" t="str">
        <f>IF(PLANEJAMENTO!B162="","",PLANEJAMENTO!B162)</f>
        <v>contel-161</v>
      </c>
      <c r="D162" s="1" t="s">
        <v>604</v>
      </c>
      <c r="G162" s="1" t="s">
        <v>604</v>
      </c>
      <c r="S162" s="1" t="str">
        <f ca="1">IFERROR(
IF(
UPPER(TRIM(_xlfn.XLOOKUP(A162,PLANEJAMENTO!A:A,PLANEJAMENTO!T:T)))="🚫CANCELADO",
"x",
""
),
"")</f>
        <v/>
      </c>
      <c r="T162" s="1" t="str">
        <f ca="1">IFERROR(
IF(
UPPER(TRIM(_xlfn.XLOOKUP(B162,PLANEJAMENTO!B:B,PLANEJAMENTO!T:T)))="✅ CONCLUÍDO",
"x",
""
),
"")</f>
        <v/>
      </c>
    </row>
    <row r="163" spans="1:20" x14ac:dyDescent="0.3">
      <c r="A163" s="1" t="str">
        <f>IF(PLANEJAMENTO!A163="","",PLANEJAMENTO!A163)</f>
        <v>GOGNAM9</v>
      </c>
      <c r="B163" s="1" t="str">
        <f>IF(PLANEJAMENTO!B163="","",PLANEJAMENTO!B163)</f>
        <v>contel-162</v>
      </c>
      <c r="D163" s="1" t="s">
        <v>604</v>
      </c>
      <c r="G163" s="1" t="s">
        <v>604</v>
      </c>
      <c r="S163" s="1" t="str">
        <f ca="1">IFERROR(
IF(
UPPER(TRIM(_xlfn.XLOOKUP(A163,PLANEJAMENTO!A:A,PLANEJAMENTO!T:T)))="🚫CANCELADO",
"x",
""
),
"")</f>
        <v/>
      </c>
      <c r="T163" s="1" t="str">
        <f ca="1">IFERROR(
IF(
UPPER(TRIM(_xlfn.XLOOKUP(B163,PLANEJAMENTO!B:B,PLANEJAMENTO!T:T)))="✅ CONCLUÍDO",
"x",
""
),
"")</f>
        <v/>
      </c>
    </row>
    <row r="164" spans="1:20" x14ac:dyDescent="0.3">
      <c r="A164" s="1" t="str">
        <f>IF(PLANEJAMENTO!A164="","",PLANEJAMENTO!A164)</f>
        <v>GOGNAK8</v>
      </c>
      <c r="B164" s="1" t="str">
        <f>IF(PLANEJAMENTO!B164="","",PLANEJAMENTO!B164)</f>
        <v>contel-163</v>
      </c>
      <c r="G164" s="1" t="s">
        <v>604</v>
      </c>
      <c r="S164" s="1" t="str">
        <f ca="1">IFERROR(
IF(
UPPER(TRIM(_xlfn.XLOOKUP(A164,PLANEJAMENTO!A:A,PLANEJAMENTO!T:T)))="🚫CANCELADO",
"x",
""
),
"")</f>
        <v/>
      </c>
      <c r="T164" s="1" t="str">
        <f ca="1">IFERROR(
IF(
UPPER(TRIM(_xlfn.XLOOKUP(B164,PLANEJAMENTO!B:B,PLANEJAMENTO!T:T)))="✅ CONCLUÍDO",
"x",
""
),
"")</f>
        <v/>
      </c>
    </row>
    <row r="165" spans="1:20" x14ac:dyDescent="0.3">
      <c r="A165" s="1" t="str">
        <f>IF(PLANEJAMENTO!A165="","",PLANEJAMENTO!A165)</f>
        <v>BR54537-B</v>
      </c>
      <c r="B165" s="1" t="str">
        <f>IF(PLANEJAMENTO!B165="","",PLANEJAMENTO!B165)</f>
        <v>contel-164</v>
      </c>
      <c r="C165" s="1" t="s">
        <v>604</v>
      </c>
      <c r="S165" s="1" t="str">
        <f ca="1">IFERROR(
IF(
UPPER(TRIM(_xlfn.XLOOKUP(A165,PLANEJAMENTO!A:A,PLANEJAMENTO!T:T)))="🚫CANCELADO",
"x",
""
),
"")</f>
        <v/>
      </c>
      <c r="T165" s="1" t="str">
        <f ca="1">IFERROR(
IF(
UPPER(TRIM(_xlfn.XLOOKUP(B165,PLANEJAMENTO!B:B,PLANEJAMENTO!T:T)))="✅ CONCLUÍDO",
"x",
""
),
"")</f>
        <v/>
      </c>
    </row>
    <row r="166" spans="1:20" x14ac:dyDescent="0.3">
      <c r="A166" s="1" t="str">
        <f>IF(PLANEJAMENTO!A166="","",PLANEJAMENTO!A166)</f>
        <v>CEEUS001NX</v>
      </c>
      <c r="B166" s="1" t="str">
        <f>IF(PLANEJAMENTO!B166="","",PLANEJAMENTO!B166)</f>
        <v>contel-165</v>
      </c>
      <c r="S166" s="1" t="str">
        <f>IFERROR(
IF(
UPPER(TRIM(_xlfn.XLOOKUP(A166,PLANEJAMENTO!A:A,PLANEJAMENTO!T:T)))="🚫CANCELADO",
"x",
""
),
"")</f>
        <v>x</v>
      </c>
      <c r="T166" s="1" t="str">
        <f>IFERROR(
IF(
UPPER(TRIM(_xlfn.XLOOKUP(B166,PLANEJAMENTO!B:B,PLANEJAMENTO!T:T)))="✅ CONCLUÍDO",
"x",
""
),
"")</f>
        <v/>
      </c>
    </row>
    <row r="167" spans="1:20" x14ac:dyDescent="0.3">
      <c r="A167" s="1" t="str">
        <f>IF(PLANEJAMENTO!A167="","",PLANEJAMENTO!A167)</f>
        <v>MAVNX001</v>
      </c>
      <c r="B167" s="1" t="str">
        <f>IF(PLANEJAMENTO!B167="","",PLANEJAMENTO!B167)</f>
        <v>contel-166</v>
      </c>
      <c r="G167" s="1" t="s">
        <v>604</v>
      </c>
      <c r="S167" s="1" t="str">
        <f>IFERROR(
IF(
UPPER(TRIM(_xlfn.XLOOKUP(A167,PLANEJAMENTO!A:A,PLANEJAMENTO!T:T)))="🚫CANCELADO",
"x",
""
),
"")</f>
        <v/>
      </c>
      <c r="T167" s="1" t="str">
        <f ca="1">IFERROR(
IF(
UPPER(TRIM(_xlfn.XLOOKUP(B167,PLANEJAMENTO!B:B,PLANEJAMENTO!T:T)))="✅ CONCLUÍDO",
"x",
""
),
"")</f>
        <v/>
      </c>
    </row>
    <row r="168" spans="1:20" x14ac:dyDescent="0.3">
      <c r="A168" s="1" t="str">
        <f>IF(PLANEJAMENTO!A168="","",PLANEJAMENTO!A168)</f>
        <v>MABMX002</v>
      </c>
      <c r="B168" s="1" t="str">
        <f>IF(PLANEJAMENTO!B168="","",PLANEJAMENTO!B168)</f>
        <v>contel-167</v>
      </c>
      <c r="G168" s="1" t="s">
        <v>604</v>
      </c>
      <c r="S168" s="1" t="str">
        <f>IFERROR(
IF(
UPPER(TRIM(_xlfn.XLOOKUP(A168,PLANEJAMENTO!A:A,PLANEJAMENTO!T:T)))="🚫CANCELADO",
"x",
""
),
"")</f>
        <v/>
      </c>
      <c r="T168" s="1" t="str">
        <f ca="1">IFERROR(
IF(
UPPER(TRIM(_xlfn.XLOOKUP(B168,PLANEJAMENTO!B:B,PLANEJAMENTO!T:T)))="✅ CONCLUÍDO",
"x",
""
),
"")</f>
        <v/>
      </c>
    </row>
    <row r="169" spans="1:20" x14ac:dyDescent="0.3">
      <c r="A169" s="1" t="str">
        <f>IF(PLANEJAMENTO!A169="","",PLANEJAMENTO!A169)</f>
        <v>MABCY001</v>
      </c>
      <c r="B169" s="1" t="str">
        <f>IF(PLANEJAMENTO!B169="","",PLANEJAMENTO!B169)</f>
        <v>contel-168</v>
      </c>
      <c r="G169" s="1" t="s">
        <v>604</v>
      </c>
      <c r="S169" s="1" t="str">
        <f>IFERROR(
IF(
UPPER(TRIM(_xlfn.XLOOKUP(A169,PLANEJAMENTO!A:A,PLANEJAMENTO!T:T)))="🚫CANCELADO",
"x",
""
),
"")</f>
        <v/>
      </c>
      <c r="T169" s="1" t="str">
        <f ca="1">IFERROR(
IF(
UPPER(TRIM(_xlfn.XLOOKUP(B169,PLANEJAMENTO!B:B,PLANEJAMENTO!T:T)))="✅ CONCLUÍDO",
"x",
""
),
"")</f>
        <v/>
      </c>
    </row>
    <row r="170" spans="1:20" x14ac:dyDescent="0.3">
      <c r="A170" s="1" t="str">
        <f>IF(PLANEJAMENTO!A170="","",PLANEJAMENTO!A170)</f>
        <v>RPE002T1</v>
      </c>
      <c r="B170" s="1" t="str">
        <f>IF(PLANEJAMENTO!B170="","",PLANEJAMENTO!B170)</f>
        <v>contel-169</v>
      </c>
      <c r="L170" s="1" t="s">
        <v>604</v>
      </c>
      <c r="S170" s="1" t="str">
        <f ca="1">IFERROR(
IF(
UPPER(TRIM(_xlfn.XLOOKUP(A170,PLANEJAMENTO!A:A,PLANEJAMENTO!T:T)))="🚫CANCELADO",
"x",
""
),
"")</f>
        <v/>
      </c>
      <c r="T170" s="1" t="str">
        <f ca="1">IFERROR(
IF(
UPPER(TRIM(_xlfn.XLOOKUP(B170,PLANEJAMENTO!B:B,PLANEJAMENTO!T:T)))="✅ CONCLUÍDO",
"x",
""
),
"")</f>
        <v/>
      </c>
    </row>
    <row r="171" spans="1:20" x14ac:dyDescent="0.3">
      <c r="A171" s="1" t="str">
        <f>IF(PLANEJAMENTO!A171="","",PLANEJAMENTO!A171)</f>
        <v>AFL001T1</v>
      </c>
      <c r="B171" s="1" t="str">
        <f>IF(PLANEJAMENTO!B171="","",PLANEJAMENTO!B171)</f>
        <v>contel-170</v>
      </c>
      <c r="S171" s="1" t="str">
        <f>IFERROR(
IF(
UPPER(TRIM(_xlfn.XLOOKUP(A171,PLANEJAMENTO!A:A,PLANEJAMENTO!T:T)))="🚫CANCELADO",
"x",
""
),
"")</f>
        <v/>
      </c>
      <c r="T171" s="1" t="str">
        <f>IFERROR(
IF(
UPPER(TRIM(_xlfn.XLOOKUP(B171,PLANEJAMENTO!B:B,PLANEJAMENTO!T:T)))="✅ CONCLUÍDO",
"x",
""
),
"")</f>
        <v>x</v>
      </c>
    </row>
    <row r="172" spans="1:20" x14ac:dyDescent="0.3">
      <c r="A172" s="1" t="str">
        <f>IF(PLANEJAMENTO!A172="","",PLANEJAMENTO!A172)</f>
        <v/>
      </c>
      <c r="B172" s="1" t="str">
        <f>IF(PLANEJAMENTO!B172="","",PLANEJAMENTO!B172)</f>
        <v/>
      </c>
      <c r="S172" s="1" t="str">
        <f>IFERROR(
IF(
UPPER(TRIM(_xlfn.XLOOKUP(A172,PLANEJAMENTO!A:A,PLANEJAMENTO!T:T)))="🚫CANCELADO",
"x",
""
),
"")</f>
        <v/>
      </c>
      <c r="T172" s="1" t="str">
        <f>IFERROR(
IF(
UPPER(TRIM(_xlfn.XLOOKUP(B172,PLANEJAMENTO!B:B,PLANEJAMENTO!T:T)))="✅ CONCLUÍDO",
"x",
""
),
"")</f>
        <v/>
      </c>
    </row>
    <row r="173" spans="1:20" x14ac:dyDescent="0.3">
      <c r="A173" s="1" t="str">
        <f>IF(PLANEJAMENTO!A173="","",PLANEJAMENTO!A173)</f>
        <v/>
      </c>
      <c r="B173" s="1" t="str">
        <f>IF(PLANEJAMENTO!B173="","",PLANEJAMENTO!B173)</f>
        <v/>
      </c>
      <c r="S173" s="1" t="str">
        <f>IFERROR(
IF(
UPPER(TRIM(_xlfn.XLOOKUP(A173,PLANEJAMENTO!A:A,PLANEJAMENTO!T:T)))="🚫CANCELADO",
"x",
""
),
"")</f>
        <v/>
      </c>
      <c r="T173" s="1" t="str">
        <f>IFERROR(
IF(
UPPER(TRIM(_xlfn.XLOOKUP(B173,PLANEJAMENTO!B:B,PLANEJAMENTO!T:T)))="✅ CONCLUÍDO",
"x",
""
),
"")</f>
        <v/>
      </c>
    </row>
    <row r="174" spans="1:20" x14ac:dyDescent="0.3">
      <c r="A174" s="1" t="str">
        <f>IF(PLANEJAMENTO!A174="","",PLANEJAMENTO!A174)</f>
        <v/>
      </c>
      <c r="B174" s="1" t="str">
        <f>IF(PLANEJAMENTO!B174="","",PLANEJAMENTO!B174)</f>
        <v/>
      </c>
      <c r="S174" s="1" t="str">
        <f>IFERROR(
IF(
UPPER(TRIM(_xlfn.XLOOKUP(A174,PLANEJAMENTO!A:A,PLANEJAMENTO!T:T)))="🚫CANCELADO",
"x",
""
),
"")</f>
        <v/>
      </c>
      <c r="T174" s="1" t="str">
        <f>IFERROR(
IF(
UPPER(TRIM(_xlfn.XLOOKUP(B174,PLANEJAMENTO!B:B,PLANEJAMENTO!T:T)))="✅ CONCLUÍDO",
"x",
""
),
"")</f>
        <v/>
      </c>
    </row>
    <row r="175" spans="1:20" x14ac:dyDescent="0.3">
      <c r="A175" s="1" t="str">
        <f>IF(PLANEJAMENTO!A175="","",PLANEJAMENTO!A175)</f>
        <v/>
      </c>
      <c r="B175" s="1" t="str">
        <f>IF(PLANEJAMENTO!B175="","",PLANEJAMENTO!B175)</f>
        <v/>
      </c>
      <c r="S175" s="1" t="str">
        <f>IFERROR(
IF(
UPPER(TRIM(_xlfn.XLOOKUP(A175,PLANEJAMENTO!A:A,PLANEJAMENTO!T:T)))="🚫CANCELADO",
"x",
""
),
"")</f>
        <v/>
      </c>
      <c r="T175" s="1" t="str">
        <f>IFERROR(
IF(
UPPER(TRIM(_xlfn.XLOOKUP(B175,PLANEJAMENTO!B:B,PLANEJAMENTO!T:T)))="✅ CONCLUÍDO",
"x",
""
),
"")</f>
        <v/>
      </c>
    </row>
    <row r="176" spans="1:20" x14ac:dyDescent="0.3">
      <c r="A176" s="1" t="str">
        <f>IF(PLANEJAMENTO!A176="","",PLANEJAMENTO!A176)</f>
        <v/>
      </c>
      <c r="B176" s="1" t="str">
        <f>IF(PLANEJAMENTO!B176="","",PLANEJAMENTO!B176)</f>
        <v/>
      </c>
      <c r="S176" s="1" t="str">
        <f>IFERROR(
IF(
UPPER(TRIM(_xlfn.XLOOKUP(A176,PLANEJAMENTO!A:A,PLANEJAMENTO!T:T)))="🚫CANCELADO",
"x",
""
),
"")</f>
        <v/>
      </c>
      <c r="T176" s="1" t="str">
        <f>IFERROR(
IF(
UPPER(TRIM(_xlfn.XLOOKUP(B176,PLANEJAMENTO!B:B,PLANEJAMENTO!T:T)))="✅ CONCLUÍDO",
"x",
""
),
"")</f>
        <v/>
      </c>
    </row>
    <row r="177" spans="1:20" x14ac:dyDescent="0.3">
      <c r="A177" s="1" t="str">
        <f>IF(PLANEJAMENTO!A177="","",PLANEJAMENTO!A177)</f>
        <v/>
      </c>
      <c r="B177" s="1" t="str">
        <f>IF(PLANEJAMENTO!B177="","",PLANEJAMENTO!B177)</f>
        <v/>
      </c>
      <c r="S177" s="1" t="str">
        <f>IFERROR(
IF(
UPPER(TRIM(_xlfn.XLOOKUP(A177,PLANEJAMENTO!A:A,PLANEJAMENTO!T:T)))="🚫CANCELADO",
"x",
""
),
"")</f>
        <v/>
      </c>
      <c r="T177" s="1" t="str">
        <f>IFERROR(
IF(
UPPER(TRIM(_xlfn.XLOOKUP(B177,PLANEJAMENTO!B:B,PLANEJAMENTO!T:T)))="✅ CONCLUÍDO",
"x",
""
),
"")</f>
        <v/>
      </c>
    </row>
    <row r="178" spans="1:20" x14ac:dyDescent="0.3">
      <c r="A178" s="1" t="str">
        <f>IF(PLANEJAMENTO!A178="","",PLANEJAMENTO!A178)</f>
        <v/>
      </c>
      <c r="B178" s="1" t="str">
        <f>IF(PLANEJAMENTO!B178="","",PLANEJAMENTO!B178)</f>
        <v/>
      </c>
      <c r="S178" s="1" t="str">
        <f>IFERROR(
IF(
UPPER(TRIM(_xlfn.XLOOKUP(A178,PLANEJAMENTO!A:A,PLANEJAMENTO!T:T)))="🚫CANCELADO",
"x",
""
),
"")</f>
        <v/>
      </c>
      <c r="T178" s="1" t="str">
        <f>IFERROR(
IF(
UPPER(TRIM(_xlfn.XLOOKUP(B178,PLANEJAMENTO!B:B,PLANEJAMENTO!T:T)))="✅ CONCLUÍDO",
"x",
""
),
"")</f>
        <v/>
      </c>
    </row>
    <row r="179" spans="1:20" x14ac:dyDescent="0.3">
      <c r="A179" s="1" t="str">
        <f>IF(PLANEJAMENTO!A179="","",PLANEJAMENTO!A179)</f>
        <v/>
      </c>
      <c r="B179" s="1" t="str">
        <f>IF(PLANEJAMENTO!B179="","",PLANEJAMENTO!B179)</f>
        <v/>
      </c>
      <c r="S179" s="1" t="str">
        <f>IFERROR(
IF(
UPPER(TRIM(_xlfn.XLOOKUP(A179,PLANEJAMENTO!A:A,PLANEJAMENTO!T:T)))="🚫CANCELADO",
"x",
""
),
"")</f>
        <v/>
      </c>
      <c r="T179" s="1" t="str">
        <f>IFERROR(
IF(
UPPER(TRIM(_xlfn.XLOOKUP(B179,PLANEJAMENTO!B:B,PLANEJAMENTO!T:T)))="✅ CONCLUÍDO",
"x",
""
),
"")</f>
        <v/>
      </c>
    </row>
    <row r="180" spans="1:20" x14ac:dyDescent="0.3">
      <c r="A180" s="1" t="str">
        <f>IF(PLANEJAMENTO!A180="","",PLANEJAMENTO!A180)</f>
        <v/>
      </c>
      <c r="B180" s="1" t="str">
        <f>IF(PLANEJAMENTO!B180="","",PLANEJAMENTO!B180)</f>
        <v/>
      </c>
      <c r="S180" s="1" t="str">
        <f>IFERROR(
IF(
UPPER(TRIM(_xlfn.XLOOKUP(A180,PLANEJAMENTO!A:A,PLANEJAMENTO!T:T)))="🚫CANCELADO",
"x",
""
),
"")</f>
        <v/>
      </c>
      <c r="T180" s="1" t="str">
        <f>IFERROR(
IF(
UPPER(TRIM(_xlfn.XLOOKUP(B180,PLANEJAMENTO!B:B,PLANEJAMENTO!T:T)))="✅ CONCLUÍDO",
"x",
""
),
"")</f>
        <v/>
      </c>
    </row>
    <row r="181" spans="1:20" x14ac:dyDescent="0.3">
      <c r="A181" s="1" t="str">
        <f>IF(PLANEJAMENTO!A181="","",PLANEJAMENTO!A181)</f>
        <v/>
      </c>
      <c r="B181" s="1" t="str">
        <f>IF(PLANEJAMENTO!B181="","",PLANEJAMENTO!B181)</f>
        <v/>
      </c>
      <c r="S181" s="1" t="str">
        <f>IFERROR(
IF(
UPPER(TRIM(_xlfn.XLOOKUP(A181,PLANEJAMENTO!A:A,PLANEJAMENTO!T:T)))="🚫CANCELADO",
"x",
""
),
"")</f>
        <v/>
      </c>
      <c r="T181" s="1" t="str">
        <f>IFERROR(
IF(
UPPER(TRIM(_xlfn.XLOOKUP(B181,PLANEJAMENTO!B:B,PLANEJAMENTO!T:T)))="✅ CONCLUÍDO",
"x",
""
),
"")</f>
        <v/>
      </c>
    </row>
    <row r="182" spans="1:20" x14ac:dyDescent="0.3">
      <c r="A182" s="1" t="str">
        <f>IF(PLANEJAMENTO!A182="","",PLANEJAMENTO!A182)</f>
        <v/>
      </c>
      <c r="B182" s="1" t="str">
        <f>IF(PLANEJAMENTO!B182="","",PLANEJAMENTO!B182)</f>
        <v/>
      </c>
      <c r="S182" s="1" t="str">
        <f>IFERROR(
IF(
UPPER(TRIM(_xlfn.XLOOKUP(A182,PLANEJAMENTO!A:A,PLANEJAMENTO!T:T)))="🚫CANCELADO",
"x",
""
),
"")</f>
        <v/>
      </c>
      <c r="T182" s="1" t="str">
        <f>IFERROR(
IF(
UPPER(TRIM(_xlfn.XLOOKUP(B182,PLANEJAMENTO!B:B,PLANEJAMENTO!T:T)))="✅ CONCLUÍDO",
"x",
""
),
"")</f>
        <v/>
      </c>
    </row>
    <row r="183" spans="1:20" x14ac:dyDescent="0.3">
      <c r="A183" s="1" t="str">
        <f>IF(PLANEJAMENTO!A183="","",PLANEJAMENTO!A183)</f>
        <v/>
      </c>
      <c r="B183" s="1" t="str">
        <f>IF(PLANEJAMENTO!B183="","",PLANEJAMENTO!B183)</f>
        <v/>
      </c>
      <c r="S183" s="1" t="str">
        <f>IFERROR(
IF(
UPPER(TRIM(_xlfn.XLOOKUP(A183,PLANEJAMENTO!A:A,PLANEJAMENTO!T:T)))="🚫CANCELADO",
"x",
""
),
"")</f>
        <v/>
      </c>
      <c r="T183" s="1" t="str">
        <f>IFERROR(
IF(
UPPER(TRIM(_xlfn.XLOOKUP(B183,PLANEJAMENTO!B:B,PLANEJAMENTO!T:T)))="✅ CONCLUÍDO",
"x",
""
),
"")</f>
        <v/>
      </c>
    </row>
    <row r="184" spans="1:20" x14ac:dyDescent="0.3">
      <c r="A184" s="1" t="str">
        <f>IF(PLANEJAMENTO!A184="","",PLANEJAMENTO!A184)</f>
        <v/>
      </c>
      <c r="B184" s="1" t="str">
        <f>IF(PLANEJAMENTO!B184="","",PLANEJAMENTO!B184)</f>
        <v/>
      </c>
      <c r="S184" s="1" t="str">
        <f>IFERROR(
IF(
UPPER(TRIM(_xlfn.XLOOKUP(A184,PLANEJAMENTO!A:A,PLANEJAMENTO!T:T)))="🚫CANCELADO",
"x",
""
),
"")</f>
        <v/>
      </c>
      <c r="T184" s="1" t="str">
        <f>IFERROR(
IF(
UPPER(TRIM(_xlfn.XLOOKUP(B184,PLANEJAMENTO!B:B,PLANEJAMENTO!T:T)))="✅ CONCLUÍDO",
"x",
""
),
"")</f>
        <v/>
      </c>
    </row>
    <row r="185" spans="1:20" x14ac:dyDescent="0.3">
      <c r="A185" s="1" t="str">
        <f>IF(PLANEJAMENTO!A185="","",PLANEJAMENTO!A185)</f>
        <v/>
      </c>
      <c r="B185" s="1" t="str">
        <f>IF(PLANEJAMENTO!B185="","",PLANEJAMENTO!B185)</f>
        <v/>
      </c>
      <c r="S185" s="1" t="str">
        <f>IFERROR(
IF(
UPPER(TRIM(_xlfn.XLOOKUP(A185,PLANEJAMENTO!A:A,PLANEJAMENTO!T:T)))="🚫CANCELADO",
"x",
""
),
"")</f>
        <v/>
      </c>
      <c r="T185" s="1" t="str">
        <f>IFERROR(
IF(
UPPER(TRIM(_xlfn.XLOOKUP(B185,PLANEJAMENTO!B:B,PLANEJAMENTO!T:T)))="✅ CONCLUÍDO",
"x",
""
),
"")</f>
        <v/>
      </c>
    </row>
  </sheetData>
  <dataValidations count="1">
    <dataValidation allowBlank="1" showInputMessage="1" showErrorMessage="1" sqref="S1:S1048576" xr:uid="{DB3AA593-6595-4E52-8A05-C4AA7A35877C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FEE1F4-103A-4F0C-A037-B0BFD1C09966}">
          <x14:formula1>
            <xm:f>CONFIGURAÇÕES!$C$2:$C$3</xm:f>
          </x14:formula1>
          <xm:sqref>C2:R1048576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9AA4-3C1E-466E-BC77-3789C2AEAAD0}">
  <dimension ref="A1:N37"/>
  <sheetViews>
    <sheetView workbookViewId="0">
      <selection activeCell="H33" sqref="H33"/>
    </sheetView>
  </sheetViews>
  <sheetFormatPr defaultRowHeight="14.4" x14ac:dyDescent="0.3"/>
  <cols>
    <col min="1" max="1" width="12.33203125" style="1" bestFit="1" customWidth="1"/>
    <col min="2" max="2" width="10.44140625" style="1" bestFit="1" customWidth="1"/>
    <col min="3" max="3" width="18.88671875" style="1" customWidth="1"/>
    <col min="4" max="4" width="12.33203125" style="1" bestFit="1" customWidth="1"/>
    <col min="5" max="5" width="11" style="1" bestFit="1" customWidth="1"/>
    <col min="6" max="6" width="15.6640625" style="1" bestFit="1" customWidth="1"/>
    <col min="7" max="7" width="18.88671875" style="1" bestFit="1" customWidth="1"/>
    <col min="8" max="8" width="20.44140625" style="1" bestFit="1" customWidth="1"/>
    <col min="9" max="9" width="12.33203125" style="1" bestFit="1" customWidth="1"/>
    <col min="10" max="10" width="18.33203125" style="1" bestFit="1" customWidth="1"/>
    <col min="11" max="11" width="14.6640625" style="1" bestFit="1" customWidth="1"/>
    <col min="12" max="12" width="15.33203125" style="1" bestFit="1" customWidth="1"/>
    <col min="13" max="13" width="19.21875" style="1" bestFit="1" customWidth="1"/>
    <col min="14" max="14" width="14.44140625" style="1" bestFit="1" customWidth="1"/>
    <col min="15" max="15" width="15.33203125" bestFit="1" customWidth="1"/>
    <col min="16" max="16" width="24" bestFit="1" customWidth="1"/>
    <col min="17" max="17" width="15.33203125" bestFit="1" customWidth="1"/>
    <col min="18" max="18" width="19.44140625" bestFit="1" customWidth="1"/>
    <col min="19" max="19" width="19.88671875" bestFit="1" customWidth="1"/>
    <col min="20" max="20" width="12.5546875" bestFit="1" customWidth="1"/>
    <col min="21" max="21" width="21.6640625" bestFit="1" customWidth="1"/>
    <col min="22" max="22" width="16.88671875" bestFit="1" customWidth="1"/>
    <col min="23" max="23" width="10.5546875" bestFit="1" customWidth="1"/>
    <col min="24" max="24" width="10.109375" bestFit="1" customWidth="1"/>
    <col min="25" max="25" width="24.5546875" bestFit="1" customWidth="1"/>
    <col min="26" max="26" width="8.5546875" bestFit="1" customWidth="1"/>
    <col min="27" max="27" width="21.6640625" bestFit="1" customWidth="1"/>
    <col min="28" max="28" width="19.88671875" bestFit="1" customWidth="1"/>
    <col min="29" max="29" width="13" bestFit="1" customWidth="1"/>
    <col min="30" max="30" width="13.6640625" bestFit="1" customWidth="1"/>
    <col min="31" max="31" width="22.109375" bestFit="1" customWidth="1"/>
    <col min="32" max="32" width="10.33203125" bestFit="1" customWidth="1"/>
    <col min="33" max="33" width="27.44140625" bestFit="1" customWidth="1"/>
    <col min="34" max="34" width="20.33203125" bestFit="1" customWidth="1"/>
    <col min="35" max="35" width="22.109375" bestFit="1" customWidth="1"/>
    <col min="36" max="36" width="19.5546875" bestFit="1" customWidth="1"/>
    <col min="37" max="37" width="8.5546875" bestFit="1" customWidth="1"/>
    <col min="38" max="38" width="19.6640625" bestFit="1" customWidth="1"/>
    <col min="39" max="39" width="7.109375" bestFit="1" customWidth="1"/>
    <col min="40" max="40" width="11" bestFit="1" customWidth="1"/>
  </cols>
  <sheetData>
    <row r="1" spans="1:14" x14ac:dyDescent="0.3">
      <c r="D1"/>
      <c r="E1"/>
      <c r="J1"/>
      <c r="K1"/>
    </row>
    <row r="2" spans="1:14" x14ac:dyDescent="0.3">
      <c r="D2"/>
      <c r="E2"/>
      <c r="F2"/>
      <c r="G2"/>
      <c r="H2"/>
    </row>
    <row r="3" spans="1:14" x14ac:dyDescent="0.3">
      <c r="A3" s="8" t="s">
        <v>2</v>
      </c>
      <c r="B3" s="1" t="s">
        <v>605</v>
      </c>
      <c r="D3" s="8" t="s">
        <v>2</v>
      </c>
      <c r="E3" s="1" t="s">
        <v>606</v>
      </c>
      <c r="F3" s="1" t="s">
        <v>607</v>
      </c>
      <c r="G3" s="1" t="s">
        <v>608</v>
      </c>
      <c r="I3" s="8" t="s">
        <v>609</v>
      </c>
      <c r="J3" s="8" t="s">
        <v>19</v>
      </c>
    </row>
    <row r="4" spans="1:14" x14ac:dyDescent="0.3">
      <c r="A4" s="1" t="s">
        <v>610</v>
      </c>
      <c r="B4" s="57">
        <v>1</v>
      </c>
      <c r="D4" s="1" t="s">
        <v>610</v>
      </c>
      <c r="E4" s="7">
        <v>0.74</v>
      </c>
      <c r="F4" s="9">
        <v>7400</v>
      </c>
      <c r="G4" s="9">
        <v>2600</v>
      </c>
      <c r="I4" s="8" t="s">
        <v>2</v>
      </c>
      <c r="J4" s="1" t="s">
        <v>611</v>
      </c>
      <c r="K4" s="1" t="s">
        <v>612</v>
      </c>
      <c r="L4" s="1" t="s">
        <v>613</v>
      </c>
      <c r="M4" s="1" t="s">
        <v>614</v>
      </c>
      <c r="N4" s="1" t="s">
        <v>615</v>
      </c>
    </row>
    <row r="5" spans="1:14" x14ac:dyDescent="0.3">
      <c r="A5" s="1" t="s">
        <v>120</v>
      </c>
      <c r="B5" s="57">
        <v>38</v>
      </c>
      <c r="D5" s="1" t="s">
        <v>120</v>
      </c>
      <c r="E5" s="7">
        <v>20.188631027326867</v>
      </c>
      <c r="F5" s="9">
        <v>736742.76000000013</v>
      </c>
      <c r="G5" s="9">
        <v>237401.68</v>
      </c>
      <c r="I5" s="1" t="s">
        <v>610</v>
      </c>
      <c r="J5" s="57"/>
      <c r="K5" s="57">
        <v>1</v>
      </c>
      <c r="L5" s="57"/>
      <c r="M5" s="57"/>
      <c r="N5" s="57"/>
    </row>
    <row r="6" spans="1:14" x14ac:dyDescent="0.3">
      <c r="A6" s="1" t="s">
        <v>78</v>
      </c>
      <c r="B6" s="57">
        <v>32</v>
      </c>
      <c r="D6" s="1" t="s">
        <v>78</v>
      </c>
      <c r="E6" s="7">
        <v>19.6142355315217</v>
      </c>
      <c r="F6" s="9">
        <v>877930.10999999987</v>
      </c>
      <c r="G6" s="9">
        <v>489619.50000000006</v>
      </c>
      <c r="I6" s="1" t="s">
        <v>120</v>
      </c>
      <c r="J6" s="57">
        <v>5</v>
      </c>
      <c r="K6" s="57">
        <v>7</v>
      </c>
      <c r="L6" s="57"/>
      <c r="M6" s="57">
        <v>25</v>
      </c>
      <c r="N6" s="57">
        <v>1</v>
      </c>
    </row>
    <row r="7" spans="1:14" x14ac:dyDescent="0.3">
      <c r="A7" s="1" t="s">
        <v>35</v>
      </c>
      <c r="B7" s="57">
        <v>16</v>
      </c>
      <c r="D7" s="1" t="s">
        <v>35</v>
      </c>
      <c r="E7" s="7">
        <v>10.725430750978534</v>
      </c>
      <c r="F7" s="9">
        <v>992730.2</v>
      </c>
      <c r="G7" s="9">
        <v>508334.63</v>
      </c>
      <c r="I7" s="1" t="s">
        <v>78</v>
      </c>
      <c r="J7" s="57">
        <v>1</v>
      </c>
      <c r="K7" s="57">
        <v>16</v>
      </c>
      <c r="L7" s="57">
        <v>2</v>
      </c>
      <c r="M7" s="57">
        <v>13</v>
      </c>
      <c r="N7" s="57"/>
    </row>
    <row r="8" spans="1:14" x14ac:dyDescent="0.3">
      <c r="A8" s="1" t="s">
        <v>186</v>
      </c>
      <c r="B8" s="57">
        <v>1</v>
      </c>
      <c r="D8" s="1" t="s">
        <v>186</v>
      </c>
      <c r="E8" s="7">
        <v>0.76249999999999996</v>
      </c>
      <c r="F8" s="9">
        <v>6100</v>
      </c>
      <c r="G8" s="9">
        <v>1900</v>
      </c>
      <c r="I8" s="1" t="s">
        <v>35</v>
      </c>
      <c r="J8" s="57">
        <v>6</v>
      </c>
      <c r="K8" s="57">
        <v>6</v>
      </c>
      <c r="L8" s="57"/>
      <c r="M8" s="57">
        <v>4</v>
      </c>
      <c r="N8" s="57"/>
    </row>
    <row r="9" spans="1:14" x14ac:dyDescent="0.3">
      <c r="A9" s="1" t="s">
        <v>111</v>
      </c>
      <c r="B9" s="57">
        <v>1</v>
      </c>
      <c r="D9" s="1" t="s">
        <v>111</v>
      </c>
      <c r="E9" s="7">
        <v>0.79426084615384607</v>
      </c>
      <c r="F9" s="9">
        <v>309761.73</v>
      </c>
      <c r="G9" s="9">
        <v>80238.27</v>
      </c>
      <c r="I9" s="1" t="s">
        <v>186</v>
      </c>
      <c r="J9" s="57"/>
      <c r="K9" s="57">
        <v>1</v>
      </c>
      <c r="L9" s="57"/>
      <c r="M9" s="57"/>
      <c r="N9" s="57"/>
    </row>
    <row r="10" spans="1:14" x14ac:dyDescent="0.3">
      <c r="A10" s="1" t="s">
        <v>21</v>
      </c>
      <c r="B10" s="57">
        <v>48</v>
      </c>
      <c r="D10" s="1" t="s">
        <v>21</v>
      </c>
      <c r="E10" s="7">
        <v>28.830613243116829</v>
      </c>
      <c r="F10" s="9">
        <v>1295727.51</v>
      </c>
      <c r="G10" s="9">
        <v>524087.29999999993</v>
      </c>
      <c r="I10" s="1" t="s">
        <v>111</v>
      </c>
      <c r="J10" s="57"/>
      <c r="K10" s="57"/>
      <c r="L10" s="57"/>
      <c r="M10" s="57">
        <v>1</v>
      </c>
      <c r="N10" s="57"/>
    </row>
    <row r="11" spans="1:14" x14ac:dyDescent="0.3">
      <c r="A11" s="1" t="s">
        <v>219</v>
      </c>
      <c r="B11" s="57">
        <v>1</v>
      </c>
      <c r="D11" s="1" t="s">
        <v>219</v>
      </c>
      <c r="E11" s="7">
        <v>0.67441691027659101</v>
      </c>
      <c r="F11" s="9">
        <v>119965.28</v>
      </c>
      <c r="G11" s="9">
        <v>57914.720000000001</v>
      </c>
      <c r="I11" s="1" t="s">
        <v>21</v>
      </c>
      <c r="J11" s="57">
        <v>7</v>
      </c>
      <c r="K11" s="57">
        <v>31</v>
      </c>
      <c r="L11" s="57">
        <v>3</v>
      </c>
      <c r="M11" s="57">
        <v>6</v>
      </c>
      <c r="N11" s="57">
        <v>1</v>
      </c>
    </row>
    <row r="12" spans="1:14" x14ac:dyDescent="0.3">
      <c r="A12" s="1" t="s">
        <v>130</v>
      </c>
      <c r="B12" s="57">
        <v>1</v>
      </c>
      <c r="D12" s="1" t="s">
        <v>130</v>
      </c>
      <c r="E12" s="7">
        <v>0.44554576185691736</v>
      </c>
      <c r="F12" s="9">
        <v>320455.96000000002</v>
      </c>
      <c r="G12" s="9">
        <v>398787.69</v>
      </c>
      <c r="I12" s="1" t="s">
        <v>219</v>
      </c>
      <c r="J12" s="57">
        <v>1</v>
      </c>
      <c r="K12" s="57"/>
      <c r="L12" s="57"/>
      <c r="M12" s="57"/>
      <c r="N12" s="57"/>
    </row>
    <row r="13" spans="1:14" x14ac:dyDescent="0.3">
      <c r="A13" s="1" t="s">
        <v>150</v>
      </c>
      <c r="B13" s="57">
        <v>2</v>
      </c>
      <c r="D13" s="1" t="s">
        <v>150</v>
      </c>
      <c r="E13" s="7">
        <v>0.98006642365868002</v>
      </c>
      <c r="F13" s="9">
        <v>47999.840000000004</v>
      </c>
      <c r="G13" s="9">
        <v>41207.06</v>
      </c>
      <c r="I13" s="1" t="s">
        <v>130</v>
      </c>
      <c r="J13" s="57"/>
      <c r="K13" s="57"/>
      <c r="L13" s="57"/>
      <c r="M13" s="57">
        <v>1</v>
      </c>
      <c r="N13" s="57"/>
    </row>
    <row r="14" spans="1:14" x14ac:dyDescent="0.3">
      <c r="A14" s="1" t="s">
        <v>280</v>
      </c>
      <c r="B14" s="57">
        <v>6</v>
      </c>
      <c r="D14" s="1" t="s">
        <v>280</v>
      </c>
      <c r="E14" s="7">
        <v>5.9990970911529597</v>
      </c>
      <c r="F14" s="9">
        <v>3357232.63</v>
      </c>
      <c r="G14" s="9">
        <v>102.82</v>
      </c>
      <c r="I14" s="1" t="s">
        <v>150</v>
      </c>
      <c r="J14" s="57"/>
      <c r="K14" s="57">
        <v>2</v>
      </c>
      <c r="L14" s="57"/>
      <c r="M14" s="57"/>
      <c r="N14" s="57"/>
    </row>
    <row r="15" spans="1:14" x14ac:dyDescent="0.3">
      <c r="A15" s="1" t="s">
        <v>115</v>
      </c>
      <c r="B15" s="57">
        <v>1</v>
      </c>
      <c r="D15" s="1" t="s">
        <v>115</v>
      </c>
      <c r="E15" s="7">
        <v>0.49459299871012952</v>
      </c>
      <c r="F15" s="9">
        <v>13577.749999999998</v>
      </c>
      <c r="G15" s="9">
        <v>13874.62</v>
      </c>
      <c r="I15" s="1" t="s">
        <v>280</v>
      </c>
      <c r="J15" s="57"/>
      <c r="K15" s="57"/>
      <c r="L15" s="57"/>
      <c r="M15" s="57">
        <v>6</v>
      </c>
      <c r="N15" s="57"/>
    </row>
    <row r="16" spans="1:14" x14ac:dyDescent="0.3">
      <c r="A16" s="1" t="s">
        <v>375</v>
      </c>
      <c r="B16" s="57">
        <v>9</v>
      </c>
      <c r="D16" s="1" t="s">
        <v>375</v>
      </c>
      <c r="E16" s="7">
        <v>9</v>
      </c>
      <c r="F16" s="9">
        <v>46080</v>
      </c>
      <c r="G16" s="9">
        <v>0</v>
      </c>
      <c r="I16" s="1" t="s">
        <v>115</v>
      </c>
      <c r="J16" s="57"/>
      <c r="K16" s="57">
        <v>1</v>
      </c>
      <c r="L16" s="57"/>
      <c r="M16" s="57"/>
      <c r="N16" s="57"/>
    </row>
    <row r="17" spans="1:14" x14ac:dyDescent="0.3">
      <c r="A17" s="1" t="s">
        <v>428</v>
      </c>
      <c r="B17" s="57">
        <v>7</v>
      </c>
      <c r="D17" s="1" t="s">
        <v>428</v>
      </c>
      <c r="E17" s="7">
        <v>3.641508756735194</v>
      </c>
      <c r="F17" s="9">
        <v>87601.1</v>
      </c>
      <c r="G17" s="9">
        <v>76400</v>
      </c>
      <c r="I17" s="1" t="s">
        <v>375</v>
      </c>
      <c r="J17" s="57"/>
      <c r="K17" s="57"/>
      <c r="L17" s="57">
        <v>9</v>
      </c>
      <c r="M17" s="57"/>
      <c r="N17" s="57"/>
    </row>
    <row r="18" spans="1:14" x14ac:dyDescent="0.3">
      <c r="A18" s="1" t="s">
        <v>469</v>
      </c>
      <c r="B18" s="57">
        <v>1</v>
      </c>
      <c r="D18" s="1" t="s">
        <v>469</v>
      </c>
      <c r="E18" s="7">
        <v>1</v>
      </c>
      <c r="F18" s="9">
        <v>78601</v>
      </c>
      <c r="G18" s="9">
        <v>0</v>
      </c>
      <c r="I18" s="1" t="s">
        <v>428</v>
      </c>
      <c r="J18" s="57"/>
      <c r="K18" s="57"/>
      <c r="L18" s="57"/>
      <c r="M18" s="57">
        <v>7</v>
      </c>
      <c r="N18" s="57"/>
    </row>
    <row r="19" spans="1:14" x14ac:dyDescent="0.3">
      <c r="A19" s="1" t="s">
        <v>487</v>
      </c>
      <c r="B19" s="57">
        <v>4</v>
      </c>
      <c r="D19" s="1" t="s">
        <v>487</v>
      </c>
      <c r="E19" s="7">
        <v>4</v>
      </c>
      <c r="F19" s="9">
        <v>988782.7</v>
      </c>
      <c r="G19" s="9">
        <v>0</v>
      </c>
      <c r="I19" s="1" t="s">
        <v>469</v>
      </c>
      <c r="J19" s="57"/>
      <c r="K19" s="57"/>
      <c r="L19" s="57"/>
      <c r="M19" s="57">
        <v>1</v>
      </c>
      <c r="N19" s="57"/>
    </row>
    <row r="20" spans="1:14" x14ac:dyDescent="0.3">
      <c r="A20" s="1" t="s">
        <v>499</v>
      </c>
      <c r="B20" s="57">
        <v>1</v>
      </c>
      <c r="D20" s="1" t="s">
        <v>499</v>
      </c>
      <c r="E20" s="7">
        <v>1</v>
      </c>
      <c r="F20" s="9">
        <v>136858.72</v>
      </c>
      <c r="G20" s="9">
        <v>0</v>
      </c>
      <c r="I20" s="1" t="s">
        <v>487</v>
      </c>
      <c r="J20" s="57"/>
      <c r="K20" s="57"/>
      <c r="L20" s="57"/>
      <c r="M20" s="57">
        <v>4</v>
      </c>
      <c r="N20" s="57"/>
    </row>
    <row r="21" spans="1:14" x14ac:dyDescent="0.3">
      <c r="A21" s="1" t="s">
        <v>616</v>
      </c>
      <c r="B21" s="57">
        <v>170</v>
      </c>
      <c r="D21" s="1" t="s">
        <v>616</v>
      </c>
      <c r="E21" s="7">
        <v>108.89089934148825</v>
      </c>
      <c r="F21" s="9">
        <v>9423547.290000001</v>
      </c>
      <c r="G21" s="9">
        <v>2432468.29</v>
      </c>
      <c r="H21"/>
      <c r="I21" s="1" t="s">
        <v>499</v>
      </c>
      <c r="J21" s="57"/>
      <c r="K21" s="57"/>
      <c r="L21" s="57"/>
      <c r="M21" s="57"/>
      <c r="N21" s="57">
        <v>1</v>
      </c>
    </row>
    <row r="22" spans="1:14" x14ac:dyDescent="0.3">
      <c r="F22"/>
      <c r="G22"/>
      <c r="H22"/>
      <c r="I22" s="1" t="s">
        <v>616</v>
      </c>
      <c r="J22" s="57">
        <v>20</v>
      </c>
      <c r="K22" s="57">
        <v>65</v>
      </c>
      <c r="L22" s="57">
        <v>14</v>
      </c>
      <c r="M22" s="57">
        <v>68</v>
      </c>
      <c r="N22" s="57">
        <v>3</v>
      </c>
    </row>
    <row r="23" spans="1:14" x14ac:dyDescent="0.3">
      <c r="F23"/>
      <c r="G23"/>
      <c r="H23"/>
      <c r="I23"/>
    </row>
    <row r="24" spans="1:14" x14ac:dyDescent="0.3">
      <c r="F24"/>
      <c r="G24"/>
      <c r="H24"/>
      <c r="I24"/>
    </row>
    <row r="25" spans="1:14" x14ac:dyDescent="0.3">
      <c r="F25"/>
      <c r="G25"/>
      <c r="H25"/>
      <c r="I25"/>
    </row>
    <row r="26" spans="1:14" x14ac:dyDescent="0.3">
      <c r="F26"/>
      <c r="G26"/>
      <c r="H26"/>
      <c r="I26"/>
    </row>
    <row r="27" spans="1:14" x14ac:dyDescent="0.3">
      <c r="F27"/>
      <c r="G27"/>
      <c r="H27"/>
      <c r="I27"/>
    </row>
    <row r="28" spans="1:14" x14ac:dyDescent="0.3">
      <c r="F28"/>
      <c r="G28"/>
      <c r="H28"/>
      <c r="I28"/>
    </row>
    <row r="29" spans="1:14" x14ac:dyDescent="0.3">
      <c r="F29"/>
      <c r="G29"/>
      <c r="H29"/>
      <c r="I29"/>
    </row>
    <row r="30" spans="1:14" x14ac:dyDescent="0.3">
      <c r="F30"/>
      <c r="G30"/>
      <c r="H30"/>
      <c r="I30"/>
    </row>
    <row r="31" spans="1:14" x14ac:dyDescent="0.3">
      <c r="F31"/>
      <c r="G31"/>
      <c r="H31"/>
      <c r="I31"/>
    </row>
    <row r="32" spans="1:14" x14ac:dyDescent="0.3">
      <c r="F32"/>
      <c r="G32"/>
      <c r="H32"/>
      <c r="I32"/>
    </row>
    <row r="33" spans="4:9" x14ac:dyDescent="0.3">
      <c r="F33"/>
      <c r="G33"/>
      <c r="H33"/>
      <c r="I33"/>
    </row>
    <row r="34" spans="4:9" x14ac:dyDescent="0.3">
      <c r="D34"/>
      <c r="E34"/>
      <c r="F34"/>
    </row>
    <row r="35" spans="4:9" x14ac:dyDescent="0.3">
      <c r="D35"/>
      <c r="E35"/>
      <c r="F35"/>
    </row>
    <row r="36" spans="4:9" x14ac:dyDescent="0.3">
      <c r="D36"/>
      <c r="E36"/>
      <c r="F36"/>
    </row>
    <row r="37" spans="4:9" x14ac:dyDescent="0.3">
      <c r="D37"/>
      <c r="E37"/>
      <c r="F37"/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>
      <selection activeCell="F12" sqref="F12"/>
    </sheetView>
  </sheetViews>
  <sheetFormatPr defaultRowHeight="15" customHeight="1" x14ac:dyDescent="0.3"/>
  <cols>
    <col min="1" max="1" width="39" bestFit="1" customWidth="1"/>
    <col min="3" max="3" width="15.6640625" bestFit="1" customWidth="1"/>
  </cols>
  <sheetData>
    <row r="1" spans="1:3" ht="18" customHeight="1" x14ac:dyDescent="0.3">
      <c r="A1" s="11" t="s">
        <v>617</v>
      </c>
      <c r="C1" s="11" t="s">
        <v>618</v>
      </c>
    </row>
    <row r="2" spans="1:3" ht="14.4" x14ac:dyDescent="0.3">
      <c r="A2" s="14" t="s">
        <v>619</v>
      </c>
      <c r="C2" s="18" t="s">
        <v>604</v>
      </c>
    </row>
    <row r="3" spans="1:3" ht="14.4" x14ac:dyDescent="0.3">
      <c r="A3" s="15" t="s">
        <v>620</v>
      </c>
      <c r="C3" s="19" t="s">
        <v>621</v>
      </c>
    </row>
    <row r="4" spans="1:3" ht="14.4" x14ac:dyDescent="0.3">
      <c r="A4" s="15" t="s">
        <v>601</v>
      </c>
    </row>
    <row r="5" spans="1:3" ht="14.4" x14ac:dyDescent="0.3">
      <c r="A5" s="15" t="s">
        <v>622</v>
      </c>
    </row>
    <row r="6" spans="1:3" ht="14.4" x14ac:dyDescent="0.3">
      <c r="A6" s="16" t="s">
        <v>602</v>
      </c>
    </row>
    <row r="7" spans="1:3" ht="14.4" x14ac:dyDescent="0.3"/>
    <row r="9" spans="1:3" ht="15" customHeight="1" x14ac:dyDescent="0.3">
      <c r="A9" s="13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2efc56-2ea0-4cfe-91ee-aba3684d22e7" xsi:nil="true"/>
    <lcf76f155ced4ddcb4097134ff3c332f xmlns="839ef67b-4086-4599-8c48-847130b70e6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19AD31ECD5514094005C07374A7874" ma:contentTypeVersion="11" ma:contentTypeDescription="Criar um novo documento." ma:contentTypeScope="" ma:versionID="8cea9fa99e8f7d41896551d7dc05bc75">
  <xsd:schema xmlns:xsd="http://www.w3.org/2001/XMLSchema" xmlns:xs="http://www.w3.org/2001/XMLSchema" xmlns:p="http://schemas.microsoft.com/office/2006/metadata/properties" xmlns:ns2="839ef67b-4086-4599-8c48-847130b70e66" xmlns:ns3="a42efc56-2ea0-4cfe-91ee-aba3684d22e7" targetNamespace="http://schemas.microsoft.com/office/2006/metadata/properties" ma:root="true" ma:fieldsID="270f12b77e9a9f936c878a9c7d5b5286" ns2:_="" ns3:_="">
    <xsd:import namespace="839ef67b-4086-4599-8c48-847130b70e66"/>
    <xsd:import namespace="a42efc56-2ea0-4cfe-91ee-aba3684d22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9ef67b-4086-4599-8c48-847130b70e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f0d25ca7-0e24-48a2-9e14-a51360df53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efc56-2ea0-4cfe-91ee-aba3684d22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5cab265-9eb2-41d8-8a16-463190e6042f}" ma:internalName="TaxCatchAll" ma:showField="CatchAllData" ma:web="a42efc56-2ea0-4cfe-91ee-aba3684d22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021764-F852-45AB-991C-CBB9AC246F98}">
  <ds:schemaRefs>
    <ds:schemaRef ds:uri="http://schemas.microsoft.com/office/2006/metadata/properties"/>
    <ds:schemaRef ds:uri="http://schemas.microsoft.com/office/infopath/2007/PartnerControls"/>
    <ds:schemaRef ds:uri="a42efc56-2ea0-4cfe-91ee-aba3684d22e7"/>
    <ds:schemaRef ds:uri="839ef67b-4086-4599-8c48-847130b70e66"/>
  </ds:schemaRefs>
</ds:datastoreItem>
</file>

<file path=customXml/itemProps2.xml><?xml version="1.0" encoding="utf-8"?>
<ds:datastoreItem xmlns:ds="http://schemas.openxmlformats.org/officeDocument/2006/customXml" ds:itemID="{A36FB61C-6889-4C10-8D32-ED02BD73C6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78E557-FB3E-422B-BB4E-F718E2D497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9ef67b-4086-4599-8c48-847130b70e66"/>
    <ds:schemaRef ds:uri="a42efc56-2ea0-4cfe-91ee-aba3684d22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PLANEJAMENTO</vt:lpstr>
      <vt:lpstr>EQUIPE</vt:lpstr>
      <vt:lpstr>CRONOGRAMA</vt:lpstr>
      <vt:lpstr>ETAPA OBRA</vt:lpstr>
      <vt:lpstr>TABELAS</vt:lpstr>
      <vt:lpstr>CONFIGURAÇÕES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Maykon - Contel</cp:lastModifiedBy>
  <cp:revision/>
  <dcterms:created xsi:type="dcterms:W3CDTF">2025-11-07T12:34:28Z</dcterms:created>
  <dcterms:modified xsi:type="dcterms:W3CDTF">2026-03-18T20:15:10Z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0x0101003019AD31ECD5514094005C07374A7874</vt:lpwstr>
  </property>
  <property fmtid="{D5CDD505-2E9C-101B-9397-08002B2CF9AE}" pid="3" name="MediaServiceImageTags">
    <vt:lpwstr/>
  </property>
</Properties>
</file>